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개요" sheetId="1" state="visible" r:id="rId1"/>
    <sheet name="2.부품목록" sheetId="2" state="visible" r:id="rId2"/>
    <sheet name="3.단자대_8P" sheetId="3" state="visible" r:id="rId3"/>
    <sheet name="4.결선표" sheetId="4" state="visible" r:id="rId4"/>
    <sheet name="5.전력예산" sheetId="5" state="visible" r:id="rId5"/>
    <sheet name="6.함체선정" sheetId="6" state="visible" r:id="rId6"/>
    <sheet name="7.타공좌표" sheetId="7" state="visible" r:id="rId7"/>
    <sheet name="8.커넥터핀맵" sheetId="8" state="visible" r:id="rId8"/>
    <sheet name="9.전선규격" sheetId="9" state="visible" r:id="rId9"/>
    <sheet name="10.검사표" sheetId="10" state="visible" r:id="rId10"/>
    <sheet name="11.확인필요" sheetId="11" state="visible" r:id="rId11"/>
    <sheet name="12.주문대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0" pivotButton="0" quotePrefix="0" xfId="0"/>
    <xf numFmtId="0" fontId="6" fillId="5" borderId="1" pivotButton="0" quotePrefix="0" xfId="0"/>
    <xf numFmtId="0" fontId="0" fillId="5" borderId="1" pivotButton="0" quotePrefix="0" xfId="0"/>
    <xf numFmtId="0" fontId="7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  <xf numFmtId="0" fontId="4" fillId="5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4" fillId="6" borderId="1" applyAlignment="1" pivotButton="0" quotePrefix="0" xfId="0">
      <alignment vertical="top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6" customWidth="1" min="3" max="3"/>
  </cols>
  <sheetData>
    <row r="1">
      <c r="A1" s="1" t="inlineStr">
        <is>
          <t>수질 모니터링 장비 함체 — 하드웨어 사양</t>
        </is>
      </c>
    </row>
    <row r="2">
      <c r="A2" s="2" t="inlineStr">
        <is>
          <t>Shrimp365 / 주식회사 컬리버   ·   Rev.B  2026-08-11   ·   단위 mm</t>
        </is>
      </c>
    </row>
    <row r="4">
      <c r="A4" s="3" t="inlineStr">
        <is>
          <t>항목</t>
        </is>
      </c>
      <c r="B4" s="3" t="inlineStr">
        <is>
          <t>확정 내용</t>
        </is>
      </c>
      <c r="C4" s="3" t="inlineStr">
        <is>
          <t>비고</t>
        </is>
      </c>
    </row>
    <row r="5">
      <c r="A5" s="4" t="inlineStr">
        <is>
          <t>함체</t>
        </is>
      </c>
      <c r="B5" s="4" t="inlineStr">
        <is>
          <t>하이박스 300 × 300 × 165 (폴리카보네이트/ABS)</t>
        </is>
      </c>
      <c r="C5" s="4" t="inlineStr">
        <is>
          <t>후보 10개 비교 → 6.함체선정 시트</t>
        </is>
      </c>
    </row>
    <row r="6">
      <c r="A6" s="4" t="inlineStr">
        <is>
          <t>전원 — 센서</t>
        </is>
      </c>
      <c r="B6" s="4" t="inlineStr">
        <is>
          <t>SMPS 220V → 12V 60W (5A)</t>
        </is>
      </c>
      <c r="C6" s="4" t="inlineStr">
        <is>
          <t>센서 전용. 부하 약 0.1A = 정격의 2%</t>
        </is>
      </c>
    </row>
    <row r="7">
      <c r="A7" s="4" t="inlineStr">
        <is>
          <t>전원 — 파이</t>
        </is>
      </c>
      <c r="B7" s="4" t="inlineStr">
        <is>
          <t>함체 내부 콘센트 1구(220V) + 파이 자체 어댑터 5.1V 3A</t>
        </is>
      </c>
      <c r="C7" s="4" t="inlineStr">
        <is>
          <t>DC-DC 사용 안 함</t>
        </is>
      </c>
    </row>
    <row r="8">
      <c r="A8" s="4" t="inlineStr">
        <is>
          <t>단자대</t>
        </is>
      </c>
      <c r="B8" s="4" t="inlineStr">
        <is>
          <t>8P 단단 (접지 포함)</t>
        </is>
      </c>
      <c r="C8" s="4" t="inlineStr">
        <is>
          <t>220V/접지 3 + 12V 2 + RS485 2 + 본딩 1</t>
        </is>
      </c>
    </row>
    <row r="9">
      <c r="A9" s="4" t="inlineStr">
        <is>
          <t>센서</t>
        </is>
      </c>
      <c r="B9" s="4" t="inlineStr">
        <is>
          <t>3대 — pH(ID1) · DO(ID3) · EC(ID4)</t>
        </is>
      </c>
      <c r="C9" s="4" t="inlineStr">
        <is>
          <t>커넥터 예비 1개는 방수캡</t>
        </is>
      </c>
    </row>
    <row r="10">
      <c r="A10" s="4" t="inlineStr">
        <is>
          <t>파이·LCD 위치</t>
        </is>
      </c>
      <c r="B10" s="4" t="inlineStr">
        <is>
          <t>도어 — 파이가 7" 디스플레이 뒷면에 장착</t>
        </is>
      </c>
      <c r="C10" s="4" t="inlineStr">
        <is>
          <t>백플레이트에는 AC 계통만</t>
        </is>
      </c>
    </row>
    <row r="11">
      <c r="A11" s="4" t="inlineStr">
        <is>
          <t>유선 LAN</t>
        </is>
      </c>
      <c r="B11" s="4" t="inlineStr">
        <is>
          <t>사용 안 함 (WiFi 전용)</t>
        </is>
      </c>
      <c r="C11" s="4" t="inlineStr">
        <is>
          <t>공유기 동봉, SSID·비밀번호 고정 운용</t>
        </is>
      </c>
    </row>
    <row r="12">
      <c r="A12" s="4" t="inlineStr">
        <is>
          <t>KC 인증</t>
        </is>
      </c>
      <c r="B12" s="4" t="inlineStr">
        <is>
          <t>진행 안 함</t>
        </is>
      </c>
      <c r="C12" s="4" t="inlineStr">
        <is>
          <t>AC 안전 설계(퓨즈·SPD·PE)는 그대로 유지</t>
        </is>
      </c>
    </row>
    <row r="13">
      <c r="A13" s="4" t="inlineStr">
        <is>
          <t>방수 등급</t>
        </is>
      </c>
      <c r="B13" s="4" t="inlineStr">
        <is>
          <t>IP66 이상</t>
        </is>
      </c>
      <c r="C13" s="4" t="inlineStr">
        <is>
          <t>커넥터는 전부 하부면. 측면·상면 뚫지 않음</t>
        </is>
      </c>
    </row>
    <row r="14">
      <c r="A14" s="4" t="inlineStr">
        <is>
          <t>내부 발열</t>
        </is>
      </c>
      <c r="B14" s="4" t="inlineStr">
        <is>
          <t>약 13.4 W</t>
        </is>
      </c>
      <c r="C14" s="4" t="inlineStr">
        <is>
          <t>5.전력예산 시트</t>
        </is>
      </c>
    </row>
    <row r="16">
      <c r="A16" s="5" t="inlineStr">
        <is>
          <t>★ 이 장비에서 가장 중요한 한 가지</t>
        </is>
      </c>
    </row>
    <row r="17">
      <c r="A17" s="6" t="inlineStr">
        <is>
          <t>파이 어댑터와 SMPS 는 서로 절연된 별개 전원입니다. 센서 0V 와 USB-RS485 변환기 GND 가 만나는 곳은 단자대 8극 본딩 하나뿐입니다. 이 본딩이 빠지면 RS485 공통모드가 벗어나 간헐적 CRC 오류가 나며, 통전 검사·전압 측정으로는 잡히지 않습니다.</t>
        </is>
      </c>
    </row>
    <row r="18"/>
    <row r="19"/>
    <row r="21">
      <c r="A21" s="7" t="inlineStr">
        <is>
          <t>관련 문서 (저장소 raspberry-pi/enclosure/)</t>
        </is>
      </c>
    </row>
    <row r="22">
      <c r="A22" s="8" t="inlineStr">
        <is>
          <t>ENCLOSURE.md</t>
        </is>
      </c>
      <c r="B22" s="8" t="inlineStr">
        <is>
          <t>외함 설계서 — 요구 형상·성능·검증 기준</t>
        </is>
      </c>
    </row>
    <row r="23">
      <c r="A23" s="8" t="inlineStr">
        <is>
          <t>WIRING.md</t>
        </is>
      </c>
      <c r="B23" s="8" t="inlineStr">
        <is>
          <t>내부 배선 설계서 — 결선표·핀맵·검사</t>
        </is>
      </c>
    </row>
    <row r="24">
      <c r="A24" s="8" t="inlineStr">
        <is>
          <t>PARTS.md</t>
        </is>
      </c>
      <c r="B24" s="8" t="inlineStr">
        <is>
          <t>기성품 구매 목록</t>
        </is>
      </c>
    </row>
    <row r="25">
      <c r="A25" s="8" t="inlineStr">
        <is>
          <t>DRAWINGS.md</t>
        </is>
      </c>
      <c r="B25" s="8" t="inlineStr">
        <is>
          <t>제작도면 SH-01~07 + 배선 계통도 W-01~04</t>
        </is>
      </c>
    </row>
    <row r="26">
      <c r="A26" s="8" t="inlineStr">
        <is>
          <t>make-drawings.py</t>
        </is>
      </c>
      <c r="B26" s="8" t="inlineStr">
        <is>
          <t>PARAMS 를 고치면 도면·3D 가 함께 갱신됨</t>
        </is>
      </c>
    </row>
  </sheetData>
  <mergeCells count="1">
    <mergeCell ref="A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2" customWidth="1" min="4" max="4"/>
    <col width="7" customWidth="1" min="5" max="5"/>
    <col width="12" customWidth="1" min="6" max="6"/>
    <col width="34" customWidth="1" min="7" max="7"/>
  </cols>
  <sheetData>
    <row r="1">
      <c r="A1" s="1" t="inlineStr">
        <is>
          <t>부품 목록 (BOM)</t>
        </is>
      </c>
    </row>
    <row r="2">
      <c r="A2" s="2" t="inlineStr">
        <is>
          <t>확인상태 — 확인완료: 제조사 사양 확인함 / 확인필요: 발주 전 치수·사양 확인 / 제작: 도면대로 제작</t>
        </is>
      </c>
    </row>
    <row r="4">
      <c r="A4" s="3" t="inlineStr">
        <is>
          <t>#</t>
        </is>
      </c>
      <c r="B4" s="3" t="inlineStr">
        <is>
          <t>구분</t>
        </is>
      </c>
      <c r="C4" s="3" t="inlineStr">
        <is>
          <t>품목</t>
        </is>
      </c>
      <c r="D4" s="3" t="inlineStr">
        <is>
          <t>사양</t>
        </is>
      </c>
      <c r="E4" s="3" t="inlineStr">
        <is>
          <t>수량</t>
        </is>
      </c>
      <c r="F4" s="3" t="inlineStr">
        <is>
          <t>확인상태</t>
        </is>
      </c>
      <c r="G4" s="3" t="inlineStr">
        <is>
          <t>비고</t>
        </is>
      </c>
    </row>
    <row r="5">
      <c r="A5" s="9" t="n">
        <v>1</v>
      </c>
      <c r="B5" s="9" t="inlineStr">
        <is>
          <t>전원</t>
        </is>
      </c>
      <c r="C5" s="9" t="inlineStr">
        <is>
          <t>SMPS</t>
        </is>
      </c>
      <c r="D5" s="9" t="inlineStr">
        <is>
          <t>220V → 12V 60W (5A)</t>
        </is>
      </c>
      <c r="E5" s="9" t="n">
        <v>1</v>
      </c>
      <c r="F5" s="9" t="inlineStr">
        <is>
          <t>확인필요</t>
        </is>
      </c>
      <c r="G5" s="9" t="inlineStr">
        <is>
          <t>외형·나사 피치 확인 필요</t>
        </is>
      </c>
    </row>
    <row r="6">
      <c r="A6" s="9" t="n">
        <v>2</v>
      </c>
      <c r="B6" s="9" t="inlineStr">
        <is>
          <t>전원</t>
        </is>
      </c>
      <c r="C6" s="9" t="inlineStr">
        <is>
          <t>콘센트 1구 원형</t>
        </is>
      </c>
      <c r="D6" s="9" t="inlineStr">
        <is>
          <t>220V, 함체 내부 설치</t>
        </is>
      </c>
      <c r="E6" s="9" t="n">
        <v>1</v>
      </c>
      <c r="F6" s="9" t="inlineStr">
        <is>
          <t>확인필요</t>
        </is>
      </c>
      <c r="G6" s="9" t="inlineStr">
        <is>
          <t>외형·고정 방식 확인 필요</t>
        </is>
      </c>
    </row>
    <row r="7">
      <c r="A7" s="9" t="n">
        <v>3</v>
      </c>
      <c r="B7" s="9" t="inlineStr">
        <is>
          <t>전원</t>
        </is>
      </c>
      <c r="C7" s="9" t="inlineStr">
        <is>
          <t>파이 전원 어댑터</t>
        </is>
      </c>
      <c r="D7" s="9" t="inlineStr">
        <is>
          <t>라즈베리파이 공식 5.1V 3A USB-C</t>
        </is>
      </c>
      <c r="E7" s="9" t="n">
        <v>1</v>
      </c>
      <c r="F7" s="9" t="inlineStr">
        <is>
          <t>확인필요</t>
        </is>
      </c>
      <c r="G7" s="9" t="inlineStr">
        <is>
          <t>브래킷·타이로 고정할 것</t>
        </is>
      </c>
    </row>
    <row r="8">
      <c r="A8" s="4" t="n">
        <v>4</v>
      </c>
      <c r="B8" s="4" t="inlineStr">
        <is>
          <t>제어</t>
        </is>
      </c>
      <c r="C8" s="4" t="inlineStr">
        <is>
          <t>Raspberry Pi Touch Display 7"</t>
        </is>
      </c>
      <c r="D8" s="4" t="inlineStr">
        <is>
          <t>192.96 × 110.76, 활성 155 × 86, 800×480</t>
        </is>
      </c>
      <c r="E8" s="4" t="n">
        <v>1</v>
      </c>
      <c r="F8" s="4" t="inlineStr">
        <is>
          <t>확인완료</t>
        </is>
      </c>
      <c r="G8" s="4" t="inlineStr">
        <is>
          <t>도어 장착</t>
        </is>
      </c>
    </row>
    <row r="9">
      <c r="A9" s="4" t="n">
        <v>5</v>
      </c>
      <c r="B9" s="4" t="inlineStr">
        <is>
          <t>제어</t>
        </is>
      </c>
      <c r="C9" s="4" t="inlineStr">
        <is>
          <t>Raspberry Pi 4 Model B</t>
        </is>
      </c>
      <c r="D9" s="4" t="inlineStr">
        <is>
          <t>2GB 이상, 85 × 56</t>
        </is>
      </c>
      <c r="E9" s="4" t="n">
        <v>1</v>
      </c>
      <c r="F9" s="4" t="inlineStr">
        <is>
          <t>확인완료</t>
        </is>
      </c>
      <c r="G9" s="4" t="inlineStr">
        <is>
          <t>디스플레이 뒷면에 장착</t>
        </is>
      </c>
    </row>
    <row r="10">
      <c r="A10" s="9" t="n">
        <v>6</v>
      </c>
      <c r="B10" s="9" t="inlineStr">
        <is>
          <t>제어</t>
        </is>
      </c>
      <c r="C10" s="9" t="inlineStr">
        <is>
          <t>파이 방열 케이스</t>
        </is>
      </c>
      <c r="D10" s="9" t="inlineStr">
        <is>
          <t>알루미늄 패시브</t>
        </is>
      </c>
      <c r="E10" s="9" t="n">
        <v>1</v>
      </c>
      <c r="F10" s="9" t="inlineStr">
        <is>
          <t>확인필요</t>
        </is>
      </c>
      <c r="G10" s="9" t="inlineStr">
        <is>
          <t>평면이 있을 것</t>
        </is>
      </c>
    </row>
    <row r="11">
      <c r="A11" s="9" t="n">
        <v>7</v>
      </c>
      <c r="B11" s="9" t="inlineStr">
        <is>
          <t>제어</t>
        </is>
      </c>
      <c r="C11" s="9" t="inlineStr">
        <is>
          <t>USB-RS485 변환기</t>
        </is>
      </c>
      <c r="D11" s="9" t="inlineStr">
        <is>
          <t>FTDI 계열 권장. GND 단자가 있는 제품</t>
        </is>
      </c>
      <c r="E11" s="9" t="n">
        <v>1</v>
      </c>
      <c r="F11" s="9" t="inlineStr">
        <is>
          <t>확인필요</t>
        </is>
      </c>
      <c r="G11" s="9" t="inlineStr">
        <is>
          <t>CH340 계열 비권장</t>
        </is>
      </c>
    </row>
    <row r="12">
      <c r="A12" s="9" t="n">
        <v>8</v>
      </c>
      <c r="B12" s="9" t="inlineStr">
        <is>
          <t>제어</t>
        </is>
      </c>
      <c r="C12" s="9" t="inlineStr">
        <is>
          <t>저장장치</t>
        </is>
      </c>
      <c r="D12" s="9" t="inlineStr">
        <is>
          <t>USB 3.0 SSD 또는 산업용 pSLC microSD</t>
        </is>
      </c>
      <c r="E12" s="9" t="n">
        <v>1</v>
      </c>
      <c r="F12" s="9" t="inlineStr">
        <is>
          <t>확인필요</t>
        </is>
      </c>
      <c r="G12" s="9" t="inlineStr">
        <is>
          <t>microSD 슬롯 외부 노출 금지</t>
        </is>
      </c>
    </row>
    <row r="13">
      <c r="A13" s="9" t="n">
        <v>9</v>
      </c>
      <c r="B13" s="9" t="inlineStr">
        <is>
          <t>제어</t>
        </is>
      </c>
      <c r="C13" s="9" t="inlineStr">
        <is>
          <t>RTC 모듈</t>
        </is>
      </c>
      <c r="D13" s="9" t="inlineStr">
        <is>
          <t>DS3231 I2C + CR2032</t>
        </is>
      </c>
      <c r="E13" s="9" t="n">
        <v>1</v>
      </c>
      <c r="F13" s="9" t="inlineStr">
        <is>
          <t>확인필요</t>
        </is>
      </c>
      <c r="G13" s="9" t="inlineStr">
        <is>
          <t>정전 후 시각 유지</t>
        </is>
      </c>
    </row>
    <row r="14">
      <c r="A14" s="9" t="n">
        <v>10</v>
      </c>
      <c r="B14" s="9" t="inlineStr">
        <is>
          <t>제어</t>
        </is>
      </c>
      <c r="C14" s="9" t="inlineStr">
        <is>
          <t>WiFi 공유기</t>
        </is>
      </c>
      <c r="D14" s="9" t="inlineStr">
        <is>
          <t>현장 납품용</t>
        </is>
      </c>
      <c r="E14" s="9" t="n">
        <v>1</v>
      </c>
      <c r="F14" s="9" t="inlineStr">
        <is>
          <t>확인필요</t>
        </is>
      </c>
      <c r="G14" s="9" t="inlineStr">
        <is>
          <t>SSID·비밀번호 고정 운용</t>
        </is>
      </c>
    </row>
    <row r="15">
      <c r="A15" s="9" t="n">
        <v>11</v>
      </c>
      <c r="B15" s="9" t="inlineStr">
        <is>
          <t>커넥터</t>
        </is>
      </c>
      <c r="C15" s="9" t="inlineStr">
        <is>
          <t>AC 인입 커넥터</t>
        </is>
      </c>
      <c r="D15" s="9" t="inlineStr">
        <is>
          <t>방수 원형, 센서용과 결합 불가한 형식</t>
        </is>
      </c>
      <c r="E15" s="9" t="n">
        <v>1</v>
      </c>
      <c r="F15" s="9" t="inlineStr">
        <is>
          <t>확인필요</t>
        </is>
      </c>
      <c r="G15" s="9" t="inlineStr">
        <is>
          <t>패널 구멍 지름 확인</t>
        </is>
      </c>
    </row>
    <row r="16">
      <c r="A16" s="9" t="n">
        <v>12</v>
      </c>
      <c r="B16" s="9" t="inlineStr">
        <is>
          <t>커넥터</t>
        </is>
      </c>
      <c r="C16" s="9" t="inlineStr">
        <is>
          <t>AC 케이블 플러그</t>
        </is>
      </c>
      <c r="D16" s="9" t="inlineStr">
        <is>
          <t>위와 짝</t>
        </is>
      </c>
      <c r="E16" s="9" t="n">
        <v>1</v>
      </c>
      <c r="F16" s="9" t="inlineStr">
        <is>
          <t>확인필요</t>
        </is>
      </c>
      <c r="G16" s="9" t="inlineStr"/>
    </row>
    <row r="17">
      <c r="A17" s="9" t="n">
        <v>13</v>
      </c>
      <c r="B17" s="9" t="inlineStr">
        <is>
          <t>커넥터</t>
        </is>
      </c>
      <c r="C17" s="9" t="inlineStr">
        <is>
          <t>센서 커넥터</t>
        </is>
      </c>
      <c r="D17" s="9" t="inlineStr">
        <is>
          <t>M12 A-coded 4핀 패널 소켓 IP67</t>
        </is>
      </c>
      <c r="E17" s="9" t="n">
        <v>4</v>
      </c>
      <c r="F17" s="9" t="inlineStr">
        <is>
          <t>확인필요</t>
        </is>
      </c>
      <c r="G17" s="9" t="inlineStr">
        <is>
          <t>3 사용 + 예비 1</t>
        </is>
      </c>
    </row>
    <row r="18">
      <c r="A18" s="9" t="n">
        <v>14</v>
      </c>
      <c r="B18" s="9" t="inlineStr">
        <is>
          <t>커넥터</t>
        </is>
      </c>
      <c r="C18" s="9" t="inlineStr">
        <is>
          <t>센서 케이블 플러그</t>
        </is>
      </c>
      <c r="D18" s="9" t="inlineStr">
        <is>
          <t>M12 A-coded 현장 조립형</t>
        </is>
      </c>
      <c r="E18" s="9" t="n">
        <v>3</v>
      </c>
      <c r="F18" s="9" t="inlineStr">
        <is>
          <t>확인필요</t>
        </is>
      </c>
      <c r="G18" s="9" t="inlineStr">
        <is>
          <t>케이블 길이 현장마다 다름</t>
        </is>
      </c>
    </row>
    <row r="19">
      <c r="A19" s="4" t="n">
        <v>15</v>
      </c>
      <c r="B19" s="4" t="inlineStr">
        <is>
          <t>커넥터</t>
        </is>
      </c>
      <c r="C19" s="4" t="inlineStr">
        <is>
          <t>통기 벤트</t>
        </is>
      </c>
      <c r="D19" s="4" t="inlineStr">
        <is>
          <t>GORE Screw-In Series M12×1.5</t>
        </is>
      </c>
      <c r="E19" s="4" t="n">
        <v>1</v>
      </c>
      <c r="F19" s="4" t="inlineStr">
        <is>
          <t>확인완료</t>
        </is>
      </c>
      <c r="G19" s="4" t="inlineStr">
        <is>
          <t>결로 방지 필수</t>
        </is>
      </c>
    </row>
    <row r="20">
      <c r="A20" s="9" t="n">
        <v>16</v>
      </c>
      <c r="B20" s="9" t="inlineStr">
        <is>
          <t>커넥터</t>
        </is>
      </c>
      <c r="C20" s="9" t="inlineStr">
        <is>
          <t>방수캡</t>
        </is>
      </c>
      <c r="D20" s="9" t="inlineStr">
        <is>
          <t>M12 소켓용</t>
        </is>
      </c>
      <c r="E20" s="9" t="n">
        <v>2</v>
      </c>
      <c r="F20" s="9" t="inlineStr">
        <is>
          <t>확인필요</t>
        </is>
      </c>
      <c r="G20" s="9" t="inlineStr">
        <is>
          <t>예비 포트용</t>
        </is>
      </c>
    </row>
    <row r="21">
      <c r="A21" s="9" t="n">
        <v>17</v>
      </c>
      <c r="B21" s="9" t="inlineStr">
        <is>
          <t>함체</t>
        </is>
      </c>
      <c r="C21" s="9" t="inlineStr">
        <is>
          <t>하이박스</t>
        </is>
      </c>
      <c r="D21" s="9" t="inlineStr">
        <is>
          <t>300 × 300 × 165, PC/ABS, IP66</t>
        </is>
      </c>
      <c r="E21" s="9" t="n">
        <v>1</v>
      </c>
      <c r="F21" s="9" t="inlineStr">
        <is>
          <t>확인필요</t>
        </is>
      </c>
      <c r="G21" s="9" t="inlineStr">
        <is>
          <t>내부 유효치수·커버 체결 방식 확인</t>
        </is>
      </c>
    </row>
    <row r="22">
      <c r="A22" s="9" t="n">
        <v>18</v>
      </c>
      <c r="B22" s="9" t="inlineStr">
        <is>
          <t>함체</t>
        </is>
      </c>
      <c r="C22" s="9" t="inlineStr">
        <is>
          <t>백플레이트</t>
        </is>
      </c>
      <c r="D22" s="9" t="inlineStr">
        <is>
          <t>알루미늄 2t, 약 260 × 260</t>
        </is>
      </c>
      <c r="E22" s="9" t="n">
        <v>1</v>
      </c>
      <c r="F22" s="9" t="inlineStr">
        <is>
          <t>확인필요</t>
        </is>
      </c>
      <c r="G22" s="9" t="inlineStr">
        <is>
          <t>PE 본딩 필수</t>
        </is>
      </c>
    </row>
    <row r="23">
      <c r="A23" s="4" t="n">
        <v>19</v>
      </c>
      <c r="B23" s="4" t="inlineStr">
        <is>
          <t>기구</t>
        </is>
      </c>
      <c r="C23" s="4" t="inlineStr">
        <is>
          <t>압착 프레임</t>
        </is>
      </c>
      <c r="D23" s="4" t="inlineStr">
        <is>
          <t>알루미늄 3t, 도면 SH-04</t>
        </is>
      </c>
      <c r="E23" s="4" t="n">
        <v>1</v>
      </c>
      <c r="F23" s="4" t="inlineStr">
        <is>
          <t>제작</t>
        </is>
      </c>
      <c r="G23" s="4" t="inlineStr">
        <is>
          <t>레이저 절단</t>
        </is>
      </c>
    </row>
    <row r="24">
      <c r="A24" s="4" t="n">
        <v>20</v>
      </c>
      <c r="B24" s="4" t="inlineStr">
        <is>
          <t>기구</t>
        </is>
      </c>
      <c r="C24" s="4" t="inlineStr">
        <is>
          <t>차양</t>
        </is>
      </c>
      <c r="D24" s="4" t="inlineStr">
        <is>
          <t>알루미늄 1.5t, 도면 SH-05</t>
        </is>
      </c>
      <c r="E24" s="4" t="n">
        <v>0</v>
      </c>
      <c r="F24" s="4" t="inlineStr">
        <is>
          <t>제작</t>
        </is>
      </c>
      <c r="G24" s="4" t="inlineStr">
        <is>
          <t>직사광 설치 시에만</t>
        </is>
      </c>
    </row>
    <row r="25">
      <c r="A25" s="9" t="n">
        <v>21</v>
      </c>
      <c r="B25" s="9" t="inlineStr">
        <is>
          <t>기구</t>
        </is>
      </c>
      <c r="C25" s="9" t="inlineStr">
        <is>
          <t>실리콘 패드</t>
        </is>
      </c>
      <c r="D25" s="9" t="inlineStr">
        <is>
          <t>3t, 폭 8 액자형</t>
        </is>
      </c>
      <c r="E25" s="9" t="n">
        <v>1</v>
      </c>
      <c r="F25" s="9" t="inlineStr">
        <is>
          <t>확인필요</t>
        </is>
      </c>
      <c r="G25" s="9" t="inlineStr">
        <is>
          <t>프레임 접촉면</t>
        </is>
      </c>
    </row>
    <row r="26">
      <c r="A26" s="9" t="n">
        <v>22</v>
      </c>
      <c r="B26" s="9" t="inlineStr">
        <is>
          <t>기구</t>
        </is>
      </c>
      <c r="C26" s="9" t="inlineStr">
        <is>
          <t>개스킷 테이프</t>
        </is>
      </c>
      <c r="D26" s="9" t="inlineStr">
        <is>
          <t>폴리우레탄 폼 양면, 폭 5 × 두께 2</t>
        </is>
      </c>
      <c r="E26" s="9" t="n">
        <v>1</v>
      </c>
      <c r="F26" s="9" t="inlineStr">
        <is>
          <t>확인필요</t>
        </is>
      </c>
      <c r="G26" s="9" t="inlineStr">
        <is>
          <t>압축률 30~50%</t>
        </is>
      </c>
    </row>
    <row r="27">
      <c r="A27" s="9" t="n">
        <v>23</v>
      </c>
      <c r="B27" s="9" t="inlineStr">
        <is>
          <t>기구</t>
        </is>
      </c>
      <c r="C27" s="9" t="inlineStr">
        <is>
          <t>M3 스탠드오프</t>
        </is>
      </c>
      <c r="D27" s="9" t="inlineStr">
        <is>
          <t>Ø8 베이스, 접착식</t>
        </is>
      </c>
      <c r="E27" s="9" t="n">
        <v>4</v>
      </c>
      <c r="F27" s="9" t="inlineStr">
        <is>
          <t>확인필요</t>
        </is>
      </c>
      <c r="G27" s="9" t="inlineStr">
        <is>
          <t>길이는 시제품 실측 후 확정</t>
        </is>
      </c>
    </row>
    <row r="28">
      <c r="A28" s="9" t="n">
        <v>24</v>
      </c>
      <c r="B28" s="9" t="inlineStr">
        <is>
          <t>기구</t>
        </is>
      </c>
      <c r="C28" s="9" t="inlineStr">
        <is>
          <t>도어 볼트</t>
        </is>
      </c>
      <c r="D28" s="9" t="inlineStr">
        <is>
          <t>SUS316 M4 핀-인-톡스(TR)</t>
        </is>
      </c>
      <c r="E28" s="9" t="n">
        <v>6</v>
      </c>
      <c r="F28" s="9" t="inlineStr">
        <is>
          <t>확인필요</t>
        </is>
      </c>
      <c r="G28" s="9" t="inlineStr">
        <is>
          <t>일반 드라이버로 안 열림</t>
        </is>
      </c>
    </row>
    <row r="29">
      <c r="A29" s="9" t="n">
        <v>25</v>
      </c>
      <c r="B29" s="9" t="inlineStr">
        <is>
          <t>기구</t>
        </is>
      </c>
      <c r="C29" s="9" t="inlineStr">
        <is>
          <t>전용 비트</t>
        </is>
      </c>
      <c r="D29" s="9" t="inlineStr">
        <is>
          <t>T20 pin-in-torx 등</t>
        </is>
      </c>
      <c r="E29" s="9" t="n">
        <v>1</v>
      </c>
      <c r="F29" s="9" t="inlineStr">
        <is>
          <t>확인필요</t>
        </is>
      </c>
      <c r="G29" s="9" t="inlineStr">
        <is>
          <t>A/S 키트에만. 제품 동봉 금지</t>
        </is>
      </c>
    </row>
    <row r="30">
      <c r="A30" s="9" t="n">
        <v>26</v>
      </c>
      <c r="B30" s="9" t="inlineStr">
        <is>
          <t>기구</t>
        </is>
      </c>
      <c r="C30" s="9" t="inlineStr">
        <is>
          <t>봉인 라벨</t>
        </is>
      </c>
      <c r="D30" s="9" t="inlineStr">
        <is>
          <t>탬퍼 에비던트 VOID</t>
        </is>
      </c>
      <c r="E30" s="9" t="n">
        <v>2</v>
      </c>
      <c r="F30" s="9" t="inlineStr">
        <is>
          <t>확인필요</t>
        </is>
      </c>
      <c r="G30" s="9" t="inlineStr">
        <is>
          <t>도어 이음매 대각선</t>
        </is>
      </c>
    </row>
    <row r="31">
      <c r="A31" s="9" t="n">
        <v>27</v>
      </c>
      <c r="B31" s="9" t="inlineStr">
        <is>
          <t>기구</t>
        </is>
      </c>
      <c r="C31" s="9" t="inlineStr">
        <is>
          <t>열전도 패드</t>
        </is>
      </c>
      <c r="D31" s="9" t="inlineStr">
        <is>
          <t>방열 케이스 ↔ 백플레이트</t>
        </is>
      </c>
      <c r="E31" s="9" t="n">
        <v>1</v>
      </c>
      <c r="F31" s="9" t="inlineStr">
        <is>
          <t>확인필요</t>
        </is>
      </c>
      <c r="G31" s="9" t="inlineStr"/>
    </row>
    <row r="32">
      <c r="A32" s="9" t="n">
        <v>28</v>
      </c>
      <c r="B32" s="9" t="inlineStr">
        <is>
          <t>기구</t>
        </is>
      </c>
      <c r="C32" s="9" t="inlineStr">
        <is>
          <t>실리카겔</t>
        </is>
      </c>
      <c r="D32" s="9" t="inlineStr">
        <is>
          <t>50g 팩</t>
        </is>
      </c>
      <c r="E32" s="9" t="n">
        <v>1</v>
      </c>
      <c r="F32" s="9" t="inlineStr">
        <is>
          <t>확인필요</t>
        </is>
      </c>
      <c r="G32" s="9" t="inlineStr">
        <is>
          <t>정비 시 교체</t>
        </is>
      </c>
    </row>
    <row r="33">
      <c r="A33" s="9" t="n">
        <v>29</v>
      </c>
      <c r="B33" s="9" t="inlineStr">
        <is>
          <t>기구</t>
        </is>
      </c>
      <c r="C33" s="9" t="inlineStr">
        <is>
          <t>케이블 타이 앵커</t>
        </is>
      </c>
      <c r="D33" s="9" t="inlineStr">
        <is>
          <t>접착식</t>
        </is>
      </c>
      <c r="E33" s="9" t="n">
        <v>1</v>
      </c>
      <c r="F33" s="9" t="inlineStr">
        <is>
          <t>확인필요</t>
        </is>
      </c>
      <c r="G33" s="9" t="inlineStr">
        <is>
          <t>케이블 덕트 대신</t>
        </is>
      </c>
    </row>
    <row r="34">
      <c r="A34" s="9" t="n">
        <v>30</v>
      </c>
      <c r="B34" s="9" t="inlineStr">
        <is>
          <t>보호</t>
        </is>
      </c>
      <c r="C34" s="9" t="inlineStr">
        <is>
          <t>퓨즈홀더 + 퓨즈</t>
        </is>
      </c>
      <c r="D34" s="9" t="inlineStr">
        <is>
          <t>AC 2A 슬로우블로우 / 12V 1A</t>
        </is>
      </c>
      <c r="E34" s="9" t="n">
        <v>2</v>
      </c>
      <c r="F34" s="9" t="inlineStr">
        <is>
          <t>확인필요</t>
        </is>
      </c>
      <c r="G34" s="9" t="inlineStr"/>
    </row>
    <row r="35">
      <c r="A35" s="9" t="n">
        <v>31</v>
      </c>
      <c r="B35" s="9" t="inlineStr">
        <is>
          <t>보호</t>
        </is>
      </c>
      <c r="C35" s="9" t="inlineStr">
        <is>
          <t>SPD</t>
        </is>
      </c>
      <c r="D35" s="9" t="inlineStr">
        <is>
          <t>AC 275V 바리스터, 온도퓨즈 내장형</t>
        </is>
      </c>
      <c r="E35" s="9" t="n">
        <v>1</v>
      </c>
      <c r="F35" s="9" t="inlineStr">
        <is>
          <t>확인필요</t>
        </is>
      </c>
      <c r="G35" s="9" t="inlineStr">
        <is>
          <t>맨 바리스터 금지 — 발화 위험</t>
        </is>
      </c>
    </row>
    <row r="36">
      <c r="A36" s="9" t="n">
        <v>32</v>
      </c>
      <c r="B36" s="9" t="inlineStr">
        <is>
          <t>보호</t>
        </is>
      </c>
      <c r="C36" s="9" t="inlineStr">
        <is>
          <t>TVS</t>
        </is>
      </c>
      <c r="D36" s="9" t="inlineStr">
        <is>
          <t>RS485용 SM712 1 + 12V 라인 16V급 1</t>
        </is>
      </c>
      <c r="E36" s="9" t="n">
        <v>2</v>
      </c>
      <c r="F36" s="9" t="inlineStr">
        <is>
          <t>확인필요</t>
        </is>
      </c>
      <c r="G36" s="9" t="inlineStr"/>
    </row>
    <row r="37">
      <c r="A37" s="9" t="n">
        <v>33</v>
      </c>
      <c r="B37" s="9" t="inlineStr">
        <is>
          <t>배선</t>
        </is>
      </c>
      <c r="C37" s="9" t="inlineStr">
        <is>
          <t>단자대 8P</t>
        </is>
      </c>
      <c r="D37" s="9" t="inlineStr">
        <is>
          <t>단단, 접지 포함, 극 사이 절연 격벽</t>
        </is>
      </c>
      <c r="E37" s="9" t="n">
        <v>1</v>
      </c>
      <c r="F37" s="9" t="inlineStr">
        <is>
          <t>확인필요</t>
        </is>
      </c>
      <c r="G37" s="9" t="inlineStr">
        <is>
          <t>3.단자대 시트</t>
        </is>
      </c>
    </row>
    <row r="38">
      <c r="A38" s="10" t="n">
        <v>34</v>
      </c>
      <c r="B38" s="10" t="inlineStr">
        <is>
          <t>배선</t>
        </is>
      </c>
      <c r="C38" s="10" t="inlineStr">
        <is>
          <t>본딩 점퍼</t>
        </is>
      </c>
      <c r="D38" s="10" t="inlineStr">
        <is>
          <t>5극↔8극 점퍼 + 변환기 GND 선 1.0㎟</t>
        </is>
      </c>
      <c r="E38" s="10" t="n">
        <v>1</v>
      </c>
      <c r="F38" s="10" t="inlineStr">
        <is>
          <t>확인필요</t>
        </is>
      </c>
      <c r="G38" s="10" t="inlineStr">
        <is>
          <t>★ 필수</t>
        </is>
      </c>
    </row>
    <row r="39">
      <c r="A39" s="9" t="n">
        <v>35</v>
      </c>
      <c r="B39" s="9" t="inlineStr">
        <is>
          <t>배선</t>
        </is>
      </c>
      <c r="C39" s="9" t="inlineStr">
        <is>
          <t>절연 커버</t>
        </is>
      </c>
      <c r="D39" s="9" t="inlineStr">
        <is>
          <t>단자대 1~3극(220V)용 투명 커버</t>
        </is>
      </c>
      <c r="E39" s="9" t="n">
        <v>1</v>
      </c>
      <c r="F39" s="9" t="inlineStr">
        <is>
          <t>확인필요</t>
        </is>
      </c>
      <c r="G39" s="9" t="inlineStr"/>
    </row>
    <row r="40">
      <c r="A40" s="9" t="n">
        <v>36</v>
      </c>
      <c r="B40" s="9" t="inlineStr">
        <is>
          <t>배선</t>
        </is>
      </c>
      <c r="C40" s="9" t="inlineStr">
        <is>
          <t>접지 부품</t>
        </is>
      </c>
      <c r="D40" s="9" t="inlineStr">
        <is>
          <t>M4 스터드 + 톱니와셔</t>
        </is>
      </c>
      <c r="E40" s="9" t="n">
        <v>1</v>
      </c>
      <c r="F40" s="9" t="inlineStr">
        <is>
          <t>확인필요</t>
        </is>
      </c>
      <c r="G40" s="9" t="inlineStr">
        <is>
          <t>알루미늄 산화막 관통</t>
        </is>
      </c>
    </row>
    <row r="41">
      <c r="A41" s="9" t="n">
        <v>37</v>
      </c>
      <c r="B41" s="9" t="inlineStr">
        <is>
          <t>배선</t>
        </is>
      </c>
      <c r="C41" s="9" t="inlineStr">
        <is>
          <t>종단저항</t>
        </is>
      </c>
      <c r="D41" s="9" t="inlineStr">
        <is>
          <t>120Ω</t>
        </is>
      </c>
      <c r="E41" s="9" t="n">
        <v>1</v>
      </c>
      <c r="F41" s="9" t="inlineStr">
        <is>
          <t>확인필요</t>
        </is>
      </c>
      <c r="G41" s="9" t="inlineStr">
        <is>
          <t>케이블 10m 초과 시에만</t>
        </is>
      </c>
    </row>
    <row r="42">
      <c r="A42" s="9" t="n">
        <v>38</v>
      </c>
      <c r="B42" s="9" t="inlineStr">
        <is>
          <t>배선</t>
        </is>
      </c>
      <c r="C42" s="9" t="inlineStr">
        <is>
          <t>배선재</t>
        </is>
      </c>
      <c r="D42" s="9" t="inlineStr">
        <is>
          <t>4.전선규격 시트 참조</t>
        </is>
      </c>
      <c r="E42" s="9" t="n">
        <v>1</v>
      </c>
      <c r="F42" s="9" t="inlineStr">
        <is>
          <t>확인필요</t>
        </is>
      </c>
      <c r="G42" s="9" t="inlineStr"/>
    </row>
    <row r="43">
      <c r="A43" s="9" t="n">
        <v>39</v>
      </c>
      <c r="B43" s="9" t="inlineStr">
        <is>
          <t>라벨</t>
        </is>
      </c>
      <c r="C43" s="9" t="inlineStr">
        <is>
          <t>라벨 세트</t>
        </is>
      </c>
      <c r="D43" s="9" t="inlineStr">
        <is>
          <t>정격·경고·커넥터 표시·시리얼</t>
        </is>
      </c>
      <c r="E43" s="9" t="n">
        <v>1</v>
      </c>
      <c r="F43" s="9" t="inlineStr">
        <is>
          <t>확인필요</t>
        </is>
      </c>
      <c r="G43" s="9" t="inlineStr">
        <is>
          <t>전면: 환경 모니터링 시스템 / 주식회사 컬리버</t>
        </is>
      </c>
    </row>
    <row r="45">
      <c r="C45" s="7" t="inlineStr">
        <is>
          <t>확인완료 품목 수</t>
        </is>
      </c>
      <c r="E45" s="11">
        <f>COUNTIF(F5:F43,"확인완료")</f>
        <v>3</v>
      </c>
    </row>
    <row r="46">
      <c r="C46" s="7" t="inlineStr">
        <is>
          <t>확인필요 품목 수</t>
        </is>
      </c>
      <c r="E46" s="11">
        <f>COUNTIF(F5:F43,"확인필요")</f>
        <v>34</v>
      </c>
    </row>
    <row r="47">
      <c r="C47" s="7" t="inlineStr">
        <is>
          <t>제작 품목 수</t>
        </is>
      </c>
      <c r="E47" s="11">
        <f>COUNTIF(F5:F43,"제작")</f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6" customWidth="1" min="4" max="4"/>
    <col width="16" customWidth="1" min="5" max="5"/>
    <col width="30" customWidth="1" min="6" max="6"/>
  </cols>
  <sheetData>
    <row r="1">
      <c r="A1" s="1" t="inlineStr">
        <is>
          <t>단자대 8P 할당 (접지 포함)</t>
        </is>
      </c>
    </row>
    <row r="2">
      <c r="A2" s="2" t="inlineStr">
        <is>
          <t>단단 8극 · 220V/접지 3극 + 12V 2극 + RS485 2극 + 본딩 1극</t>
        </is>
      </c>
    </row>
    <row r="4">
      <c r="A4" s="3" t="inlineStr">
        <is>
          <t>극</t>
        </is>
      </c>
      <c r="B4" s="3" t="inlineStr">
        <is>
          <t>이름</t>
        </is>
      </c>
      <c r="C4" s="3" t="inlineStr">
        <is>
          <t>들어오는 것</t>
        </is>
      </c>
      <c r="D4" s="3" t="inlineStr">
        <is>
          <t>나가는 것</t>
        </is>
      </c>
      <c r="E4" s="3" t="inlineStr">
        <is>
          <t>전선</t>
        </is>
      </c>
      <c r="F4" s="3" t="inlineStr">
        <is>
          <t>비고</t>
        </is>
      </c>
    </row>
    <row r="5">
      <c r="A5" s="4" t="n">
        <v>1</v>
      </c>
      <c r="B5" s="4" t="inlineStr">
        <is>
          <t>L</t>
        </is>
      </c>
      <c r="C5" s="4" t="inlineStr">
        <is>
          <t>AC 인입 L (F1 뒤)</t>
        </is>
      </c>
      <c r="D5" s="4" t="inlineStr">
        <is>
          <t>SMPS L · 콘센트 L</t>
        </is>
      </c>
      <c r="E5" s="4" t="inlineStr">
        <is>
          <t>0.75㎟ 갈색</t>
        </is>
      </c>
      <c r="F5" s="4" t="inlineStr">
        <is>
          <t>절연 커버 안</t>
        </is>
      </c>
    </row>
    <row r="6">
      <c r="A6" s="4" t="n">
        <v>2</v>
      </c>
      <c r="B6" s="4" t="inlineStr">
        <is>
          <t>N</t>
        </is>
      </c>
      <c r="C6" s="4" t="inlineStr">
        <is>
          <t>AC 인입 N</t>
        </is>
      </c>
      <c r="D6" s="4" t="inlineStr">
        <is>
          <t>SMPS N · 콘센트 N</t>
        </is>
      </c>
      <c r="E6" s="4" t="inlineStr">
        <is>
          <t>0.75㎟ 파랑</t>
        </is>
      </c>
      <c r="F6" s="4" t="inlineStr">
        <is>
          <t>절연 커버 안</t>
        </is>
      </c>
    </row>
    <row r="7">
      <c r="A7" s="4" t="n">
        <v>3</v>
      </c>
      <c r="B7" s="4" t="inlineStr">
        <is>
          <t>PE</t>
        </is>
      </c>
      <c r="C7" s="4" t="inlineStr">
        <is>
          <t>AC 인입 PE</t>
        </is>
      </c>
      <c r="D7" s="4" t="inlineStr">
        <is>
          <t>접지 스터드 · 콘센트 접지극</t>
        </is>
      </c>
      <c r="E7" s="4" t="inlineStr">
        <is>
          <t>1.5㎟ 녹/황</t>
        </is>
      </c>
      <c r="F7" s="4" t="inlineStr">
        <is>
          <t>접지 표시 부착</t>
        </is>
      </c>
    </row>
    <row r="8">
      <c r="A8" s="4" t="n">
        <v>4</v>
      </c>
      <c r="B8" s="4" t="inlineStr">
        <is>
          <t>+12V</t>
        </is>
      </c>
      <c r="C8" s="4" t="inlineStr">
        <is>
          <t>SMPS +V (F2 · TVS 뒤)</t>
        </is>
      </c>
      <c r="D8" s="4" t="inlineStr">
        <is>
          <t>센서 1·2·3 핀 1</t>
        </is>
      </c>
      <c r="E8" s="4" t="inlineStr">
        <is>
          <t>0.75㎟ 빨강</t>
        </is>
      </c>
      <c r="F8" s="4" t="inlineStr">
        <is>
          <t>극당 3가닥 → 압착 단자</t>
        </is>
      </c>
    </row>
    <row r="9">
      <c r="A9" s="4" t="n">
        <v>5</v>
      </c>
      <c r="B9" s="4" t="inlineStr">
        <is>
          <t>0V</t>
        </is>
      </c>
      <c r="C9" s="4" t="inlineStr">
        <is>
          <t>SMPS −V</t>
        </is>
      </c>
      <c r="D9" s="4" t="inlineStr">
        <is>
          <t>센서 1·2·3 핀 3 · 실드 · 8극</t>
        </is>
      </c>
      <c r="E9" s="4" t="inlineStr">
        <is>
          <t>0.75㎟ 검정</t>
        </is>
      </c>
      <c r="F9" s="4" t="inlineStr">
        <is>
          <t>극당 다수 → 압착 단자</t>
        </is>
      </c>
    </row>
    <row r="10">
      <c r="A10" s="4" t="n">
        <v>6</v>
      </c>
      <c r="B10" s="4" t="inlineStr">
        <is>
          <t>A</t>
        </is>
      </c>
      <c r="C10" s="4" t="inlineStr">
        <is>
          <t>USB-RS485 A (TVS 뒤)</t>
        </is>
      </c>
      <c r="D10" s="4" t="inlineStr">
        <is>
          <t>센서 1·2·3 핀 2</t>
        </is>
      </c>
      <c r="E10" s="4" t="inlineStr">
        <is>
          <t>0.5㎟ 초록</t>
        </is>
      </c>
      <c r="F10" s="4" t="inlineStr">
        <is>
          <t>실드 트위스트 페어</t>
        </is>
      </c>
    </row>
    <row r="11">
      <c r="A11" s="4" t="n">
        <v>7</v>
      </c>
      <c r="B11" s="4" t="inlineStr">
        <is>
          <t>B</t>
        </is>
      </c>
      <c r="C11" s="4" t="inlineStr">
        <is>
          <t>USB-RS485 B (TVS 뒤)</t>
        </is>
      </c>
      <c r="D11" s="4" t="inlineStr">
        <is>
          <t>센서 1·2·3 핀 4</t>
        </is>
      </c>
      <c r="E11" s="4" t="inlineStr">
        <is>
          <t>0.5㎟ 노랑</t>
        </is>
      </c>
      <c r="F11" s="4" t="inlineStr">
        <is>
          <t>실드 트위스트 페어</t>
        </is>
      </c>
    </row>
    <row r="12">
      <c r="A12" s="10" t="n">
        <v>8</v>
      </c>
      <c r="B12" s="10" t="inlineStr">
        <is>
          <t>본딩</t>
        </is>
      </c>
      <c r="C12" s="10" t="inlineStr">
        <is>
          <t>USB-RS485 GND</t>
        </is>
      </c>
      <c r="D12" s="10" t="inlineStr">
        <is>
          <t>5극 (점퍼)</t>
        </is>
      </c>
      <c r="E12" s="10" t="inlineStr">
        <is>
          <t>1.0㎟ 회색</t>
        </is>
      </c>
      <c r="F12" s="10" t="inlineStr">
        <is>
          <t>★ 예비극 아님 — 필수</t>
        </is>
      </c>
    </row>
    <row r="14">
      <c r="A14" s="5" t="inlineStr">
        <is>
          <t>220V 극과 저압 극이 한 단자대에 섞여 있습니다. 극 사이 절연 격벽이 있는 제품을 쓰고 1~3극 위에 투명 절연 커버를 덮으십시오.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40" customWidth="1" min="4" max="4"/>
    <col width="20" customWidth="1" min="5" max="5"/>
    <col width="34" customWidth="1" min="6" max="6"/>
  </cols>
  <sheetData>
    <row r="1">
      <c r="A1" s="1" t="inlineStr">
        <is>
          <t>결선표</t>
        </is>
      </c>
    </row>
    <row r="2">
      <c r="A2" s="2" t="inlineStr">
        <is>
          <t>배선 순서대로 정렬. 각 구간을 끝내고 확인한 뒤 다음으로 넘어갑니다.</t>
        </is>
      </c>
    </row>
    <row r="4">
      <c r="A4" s="3" t="inlineStr">
        <is>
          <t>#</t>
        </is>
      </c>
      <c r="B4" s="3" t="inlineStr">
        <is>
          <t>회로</t>
        </is>
      </c>
      <c r="C4" s="3" t="inlineStr">
        <is>
          <t>From</t>
        </is>
      </c>
      <c r="D4" s="3" t="inlineStr">
        <is>
          <t>To</t>
        </is>
      </c>
      <c r="E4" s="3" t="inlineStr">
        <is>
          <t>전선</t>
        </is>
      </c>
      <c r="F4" s="3" t="inlineStr">
        <is>
          <t>비고</t>
        </is>
      </c>
    </row>
    <row r="5">
      <c r="A5" s="12" t="inlineStr">
        <is>
          <t>AC 1차 — 절연 커버 안쪽</t>
        </is>
      </c>
      <c r="B5" s="13" t="n"/>
      <c r="C5" s="13" t="n"/>
      <c r="D5" s="13" t="n"/>
      <c r="E5" s="13" t="n"/>
      <c r="F5" s="13" t="n"/>
    </row>
    <row r="6">
      <c r="A6" s="4" t="n">
        <v>1</v>
      </c>
      <c r="B6" s="4" t="inlineStr">
        <is>
          <t>AC L</t>
        </is>
      </c>
      <c r="C6" s="4" t="inlineStr">
        <is>
          <t>X1 : L</t>
        </is>
      </c>
      <c r="D6" s="4" t="inlineStr">
        <is>
          <t>F1 : 1</t>
        </is>
      </c>
      <c r="E6" s="4" t="inlineStr">
        <is>
          <t>0.75 갈색</t>
        </is>
      </c>
      <c r="F6" s="4" t="inlineStr"/>
    </row>
    <row r="7">
      <c r="A7" s="4" t="n">
        <v>2</v>
      </c>
      <c r="B7" s="4" t="inlineStr">
        <is>
          <t>AC L</t>
        </is>
      </c>
      <c r="C7" s="4" t="inlineStr">
        <is>
          <t>F1 : 2</t>
        </is>
      </c>
      <c r="D7" s="4" t="inlineStr">
        <is>
          <t>단자대 1극</t>
        </is>
      </c>
      <c r="E7" s="4" t="inlineStr">
        <is>
          <t>0.75 갈색</t>
        </is>
      </c>
      <c r="F7" s="4" t="inlineStr"/>
    </row>
    <row r="8">
      <c r="A8" s="4" t="n">
        <v>3</v>
      </c>
      <c r="B8" s="4" t="inlineStr">
        <is>
          <t>AC L</t>
        </is>
      </c>
      <c r="C8" s="4" t="inlineStr">
        <is>
          <t>F1 : 2</t>
        </is>
      </c>
      <c r="D8" s="4" t="inlineStr">
        <is>
          <t>SPD : L</t>
        </is>
      </c>
      <c r="E8" s="4" t="inlineStr">
        <is>
          <t>0.75 갈색</t>
        </is>
      </c>
      <c r="F8" s="4" t="inlineStr"/>
    </row>
    <row r="9">
      <c r="A9" s="4" t="n">
        <v>4</v>
      </c>
      <c r="B9" s="4" t="inlineStr">
        <is>
          <t>AC N</t>
        </is>
      </c>
      <c r="C9" s="4" t="inlineStr">
        <is>
          <t>X1 : N</t>
        </is>
      </c>
      <c r="D9" s="4" t="inlineStr">
        <is>
          <t>단자대 2극</t>
        </is>
      </c>
      <c r="E9" s="4" t="inlineStr">
        <is>
          <t>0.75 파랑</t>
        </is>
      </c>
      <c r="F9" s="4" t="inlineStr"/>
    </row>
    <row r="10">
      <c r="A10" s="4" t="n">
        <v>5</v>
      </c>
      <c r="B10" s="4" t="inlineStr">
        <is>
          <t>AC N</t>
        </is>
      </c>
      <c r="C10" s="4" t="inlineStr">
        <is>
          <t>단자대 2극</t>
        </is>
      </c>
      <c r="D10" s="4" t="inlineStr">
        <is>
          <t>SPD : N</t>
        </is>
      </c>
      <c r="E10" s="4" t="inlineStr">
        <is>
          <t>0.75 파랑</t>
        </is>
      </c>
      <c r="F10" s="4" t="inlineStr"/>
    </row>
    <row r="11">
      <c r="A11" s="4" t="n">
        <v>6</v>
      </c>
      <c r="B11" s="4" t="inlineStr">
        <is>
          <t>PE</t>
        </is>
      </c>
      <c r="C11" s="4" t="inlineStr">
        <is>
          <t>X1 : PE</t>
        </is>
      </c>
      <c r="D11" s="4" t="inlineStr">
        <is>
          <t>단자대 3극</t>
        </is>
      </c>
      <c r="E11" s="4" t="inlineStr">
        <is>
          <t>1.5 녹/황</t>
        </is>
      </c>
      <c r="F11" s="4" t="inlineStr"/>
    </row>
    <row r="12">
      <c r="A12" s="4" t="n">
        <v>7</v>
      </c>
      <c r="B12" s="4" t="inlineStr">
        <is>
          <t>PE</t>
        </is>
      </c>
      <c r="C12" s="4" t="inlineStr">
        <is>
          <t>SPD : PE</t>
        </is>
      </c>
      <c r="D12" s="4" t="inlineStr">
        <is>
          <t>단자대 3극</t>
        </is>
      </c>
      <c r="E12" s="4" t="inlineStr">
        <is>
          <t>0.75 녹/황</t>
        </is>
      </c>
      <c r="F12" s="4" t="inlineStr"/>
    </row>
    <row r="13">
      <c r="A13" s="4" t="n">
        <v>8</v>
      </c>
      <c r="B13" s="4" t="inlineStr">
        <is>
          <t>PE</t>
        </is>
      </c>
      <c r="C13" s="4" t="inlineStr">
        <is>
          <t>단자대 3극</t>
        </is>
      </c>
      <c r="D13" s="4" t="inlineStr">
        <is>
          <t>접지 스터드</t>
        </is>
      </c>
      <c r="E13" s="4" t="inlineStr">
        <is>
          <t>1.5 녹/황</t>
        </is>
      </c>
      <c r="F13" s="4" t="inlineStr">
        <is>
          <t>톱니와셔</t>
        </is>
      </c>
    </row>
    <row r="14">
      <c r="A14" s="4" t="n">
        <v>9</v>
      </c>
      <c r="B14" s="4" t="inlineStr">
        <is>
          <t>AC L</t>
        </is>
      </c>
      <c r="C14" s="4" t="inlineStr">
        <is>
          <t>단자대 1극</t>
        </is>
      </c>
      <c r="D14" s="4" t="inlineStr">
        <is>
          <t>SMPS : L</t>
        </is>
      </c>
      <c r="E14" s="4" t="inlineStr">
        <is>
          <t>0.75 갈색</t>
        </is>
      </c>
      <c r="F14" s="4" t="inlineStr"/>
    </row>
    <row r="15">
      <c r="A15" s="4" t="n">
        <v>10</v>
      </c>
      <c r="B15" s="4" t="inlineStr">
        <is>
          <t>AC N</t>
        </is>
      </c>
      <c r="C15" s="4" t="inlineStr">
        <is>
          <t>단자대 2극</t>
        </is>
      </c>
      <c r="D15" s="4" t="inlineStr">
        <is>
          <t>SMPS : N</t>
        </is>
      </c>
      <c r="E15" s="4" t="inlineStr">
        <is>
          <t>0.75 파랑</t>
        </is>
      </c>
      <c r="F15" s="4" t="inlineStr"/>
    </row>
    <row r="16">
      <c r="A16" s="4" t="n">
        <v>11</v>
      </c>
      <c r="B16" s="4" t="inlineStr">
        <is>
          <t>AC L</t>
        </is>
      </c>
      <c r="C16" s="4" t="inlineStr">
        <is>
          <t>단자대 1극</t>
        </is>
      </c>
      <c r="D16" s="4" t="inlineStr">
        <is>
          <t>콘센트 : L</t>
        </is>
      </c>
      <c r="E16" s="4" t="inlineStr">
        <is>
          <t>0.75 갈색</t>
        </is>
      </c>
      <c r="F16" s="4" t="inlineStr"/>
    </row>
    <row r="17">
      <c r="A17" s="4" t="n">
        <v>12</v>
      </c>
      <c r="B17" s="4" t="inlineStr">
        <is>
          <t>AC N</t>
        </is>
      </c>
      <c r="C17" s="4" t="inlineStr">
        <is>
          <t>단자대 2극</t>
        </is>
      </c>
      <c r="D17" s="4" t="inlineStr">
        <is>
          <t>콘센트 : N</t>
        </is>
      </c>
      <c r="E17" s="4" t="inlineStr">
        <is>
          <t>0.75 파랑</t>
        </is>
      </c>
      <c r="F17" s="4" t="inlineStr"/>
    </row>
    <row r="18">
      <c r="A18" s="4" t="n">
        <v>13</v>
      </c>
      <c r="B18" s="4" t="inlineStr">
        <is>
          <t>PE</t>
        </is>
      </c>
      <c r="C18" s="4" t="inlineStr">
        <is>
          <t>단자대 3극</t>
        </is>
      </c>
      <c r="D18" s="4" t="inlineStr">
        <is>
          <t>콘센트 : 접지극</t>
        </is>
      </c>
      <c r="E18" s="4" t="inlineStr">
        <is>
          <t>0.75 녹/황</t>
        </is>
      </c>
      <c r="F18" s="4" t="inlineStr"/>
    </row>
    <row r="19">
      <c r="A19" s="12" t="inlineStr">
        <is>
          <t>12V 계통 — 센서 전용</t>
        </is>
      </c>
      <c r="B19" s="13" t="n"/>
      <c r="C19" s="13" t="n"/>
      <c r="D19" s="13" t="n"/>
      <c r="E19" s="13" t="n"/>
      <c r="F19" s="13" t="n"/>
    </row>
    <row r="20">
      <c r="A20" s="4" t="n">
        <v>14</v>
      </c>
      <c r="B20" s="4" t="inlineStr">
        <is>
          <t>+12V</t>
        </is>
      </c>
      <c r="C20" s="4" t="inlineStr">
        <is>
          <t>SMPS : +V</t>
        </is>
      </c>
      <c r="D20" s="4" t="inlineStr">
        <is>
          <t>F2 : 1</t>
        </is>
      </c>
      <c r="E20" s="4" t="inlineStr">
        <is>
          <t>0.75 빨강</t>
        </is>
      </c>
      <c r="F20" s="4" t="inlineStr"/>
    </row>
    <row r="21">
      <c r="A21" s="4" t="n">
        <v>15</v>
      </c>
      <c r="B21" s="4" t="inlineStr">
        <is>
          <t>+12V</t>
        </is>
      </c>
      <c r="C21" s="4" t="inlineStr">
        <is>
          <t>F2 : 2</t>
        </is>
      </c>
      <c r="D21" s="4" t="inlineStr">
        <is>
          <t>TVS(16V) : +</t>
        </is>
      </c>
      <c r="E21" s="4" t="inlineStr">
        <is>
          <t>0.75 빨강</t>
        </is>
      </c>
      <c r="F21" s="4" t="inlineStr"/>
    </row>
    <row r="22">
      <c r="A22" s="4" t="n">
        <v>16</v>
      </c>
      <c r="B22" s="4" t="inlineStr">
        <is>
          <t>+12V</t>
        </is>
      </c>
      <c r="C22" s="4" t="inlineStr">
        <is>
          <t>TVS(16V) : +</t>
        </is>
      </c>
      <c r="D22" s="4" t="inlineStr">
        <is>
          <t>단자대 4극</t>
        </is>
      </c>
      <c r="E22" s="4" t="inlineStr">
        <is>
          <t>0.75 빨강</t>
        </is>
      </c>
      <c r="F22" s="4" t="inlineStr"/>
    </row>
    <row r="23">
      <c r="A23" s="4" t="n">
        <v>17</v>
      </c>
      <c r="B23" s="4" t="inlineStr">
        <is>
          <t>0V</t>
        </is>
      </c>
      <c r="C23" s="4" t="inlineStr">
        <is>
          <t>SMPS : −V</t>
        </is>
      </c>
      <c r="D23" s="4" t="inlineStr">
        <is>
          <t>단자대 5극</t>
        </is>
      </c>
      <c r="E23" s="4" t="inlineStr">
        <is>
          <t>0.75 검정</t>
        </is>
      </c>
      <c r="F23" s="4" t="inlineStr"/>
    </row>
    <row r="24">
      <c r="A24" s="4" t="n">
        <v>18</v>
      </c>
      <c r="B24" s="4" t="inlineStr">
        <is>
          <t>0V</t>
        </is>
      </c>
      <c r="C24" s="4" t="inlineStr">
        <is>
          <t>TVS(16V) : −</t>
        </is>
      </c>
      <c r="D24" s="4" t="inlineStr">
        <is>
          <t>단자대 5극</t>
        </is>
      </c>
      <c r="E24" s="4" t="inlineStr">
        <is>
          <t>0.75 검정</t>
        </is>
      </c>
      <c r="F24" s="4" t="inlineStr"/>
    </row>
    <row r="25">
      <c r="A25" s="12" t="inlineStr">
        <is>
          <t>RS485</t>
        </is>
      </c>
      <c r="B25" s="13" t="n"/>
      <c r="C25" s="13" t="n"/>
      <c r="D25" s="13" t="n"/>
      <c r="E25" s="13" t="n"/>
      <c r="F25" s="13" t="n"/>
    </row>
    <row r="26">
      <c r="A26" s="4" t="n">
        <v>19</v>
      </c>
      <c r="B26" s="4" t="inlineStr">
        <is>
          <t>A</t>
        </is>
      </c>
      <c r="C26" s="4" t="inlineStr">
        <is>
          <t>변환기 : A (T/R+)</t>
        </is>
      </c>
      <c r="D26" s="4" t="inlineStr">
        <is>
          <t>TVS(SM712) : A</t>
        </is>
      </c>
      <c r="E26" s="4" t="inlineStr">
        <is>
          <t>0.5 초록</t>
        </is>
      </c>
      <c r="F26" s="4" t="inlineStr">
        <is>
          <t>실드 TP</t>
        </is>
      </c>
    </row>
    <row r="27">
      <c r="A27" s="4" t="n">
        <v>20</v>
      </c>
      <c r="B27" s="4" t="inlineStr">
        <is>
          <t>B</t>
        </is>
      </c>
      <c r="C27" s="4" t="inlineStr">
        <is>
          <t>변환기 : B (T/R−)</t>
        </is>
      </c>
      <c r="D27" s="4" t="inlineStr">
        <is>
          <t>TVS(SM712) : B</t>
        </is>
      </c>
      <c r="E27" s="4" t="inlineStr">
        <is>
          <t>0.5 노랑</t>
        </is>
      </c>
      <c r="F27" s="4" t="inlineStr">
        <is>
          <t>실드 TP</t>
        </is>
      </c>
    </row>
    <row r="28">
      <c r="A28" s="4" t="n">
        <v>21</v>
      </c>
      <c r="B28" s="4" t="inlineStr">
        <is>
          <t>A</t>
        </is>
      </c>
      <c r="C28" s="4" t="inlineStr">
        <is>
          <t>TVS(SM712) : A</t>
        </is>
      </c>
      <c r="D28" s="4" t="inlineStr">
        <is>
          <t>단자대 6극</t>
        </is>
      </c>
      <c r="E28" s="4" t="inlineStr">
        <is>
          <t>0.5 초록</t>
        </is>
      </c>
      <c r="F28" s="4" t="inlineStr"/>
    </row>
    <row r="29">
      <c r="A29" s="4" t="n">
        <v>22</v>
      </c>
      <c r="B29" s="4" t="inlineStr">
        <is>
          <t>B</t>
        </is>
      </c>
      <c r="C29" s="4" t="inlineStr">
        <is>
          <t>TVS(SM712) : B</t>
        </is>
      </c>
      <c r="D29" s="4" t="inlineStr">
        <is>
          <t>단자대 7극</t>
        </is>
      </c>
      <c r="E29" s="4" t="inlineStr">
        <is>
          <t>0.5 노랑</t>
        </is>
      </c>
      <c r="F29" s="4" t="inlineStr"/>
    </row>
    <row r="30">
      <c r="A30" s="12" t="inlineStr">
        <is>
          <t>센서 커넥터 — 3포트 병렬</t>
        </is>
      </c>
      <c r="B30" s="13" t="n"/>
      <c r="C30" s="13" t="n"/>
      <c r="D30" s="13" t="n"/>
      <c r="E30" s="13" t="n"/>
      <c r="F30" s="13" t="n"/>
    </row>
    <row r="31">
      <c r="A31" s="4" t="inlineStr">
        <is>
          <t>23~25</t>
        </is>
      </c>
      <c r="B31" s="4" t="inlineStr">
        <is>
          <t>+12V</t>
        </is>
      </c>
      <c r="C31" s="4" t="inlineStr">
        <is>
          <t>단자대 4극</t>
        </is>
      </c>
      <c r="D31" s="4" t="inlineStr">
        <is>
          <t>센서 1·2·3 : 핀 1</t>
        </is>
      </c>
      <c r="E31" s="4" t="inlineStr">
        <is>
          <t>0.75 빨강</t>
        </is>
      </c>
      <c r="F31" s="4" t="inlineStr">
        <is>
          <t>압착 단자</t>
        </is>
      </c>
    </row>
    <row r="32">
      <c r="A32" s="4" t="inlineStr">
        <is>
          <t>26~28</t>
        </is>
      </c>
      <c r="B32" s="4" t="inlineStr">
        <is>
          <t>0V</t>
        </is>
      </c>
      <c r="C32" s="4" t="inlineStr">
        <is>
          <t>단자대 5극</t>
        </is>
      </c>
      <c r="D32" s="4" t="inlineStr">
        <is>
          <t>센서 1·2·3 : 핀 3</t>
        </is>
      </c>
      <c r="E32" s="4" t="inlineStr">
        <is>
          <t>0.75 검정</t>
        </is>
      </c>
      <c r="F32" s="4" t="inlineStr">
        <is>
          <t>압착 단자</t>
        </is>
      </c>
    </row>
    <row r="33">
      <c r="A33" s="4" t="inlineStr">
        <is>
          <t>29~31</t>
        </is>
      </c>
      <c r="B33" s="4" t="inlineStr">
        <is>
          <t>A</t>
        </is>
      </c>
      <c r="C33" s="4" t="inlineStr">
        <is>
          <t>단자대 6극</t>
        </is>
      </c>
      <c r="D33" s="4" t="inlineStr">
        <is>
          <t>센서 1·2·3 : 핀 2</t>
        </is>
      </c>
      <c r="E33" s="4" t="inlineStr">
        <is>
          <t>0.5 초록</t>
        </is>
      </c>
      <c r="F33" s="4" t="inlineStr">
        <is>
          <t>압착 단자</t>
        </is>
      </c>
    </row>
    <row r="34">
      <c r="A34" s="4" t="inlineStr">
        <is>
          <t>32~34</t>
        </is>
      </c>
      <c r="B34" s="4" t="inlineStr">
        <is>
          <t>B</t>
        </is>
      </c>
      <c r="C34" s="4" t="inlineStr">
        <is>
          <t>단자대 7극</t>
        </is>
      </c>
      <c r="D34" s="4" t="inlineStr">
        <is>
          <t>센서 1·2·3 : 핀 4</t>
        </is>
      </c>
      <c r="E34" s="4" t="inlineStr">
        <is>
          <t>0.5 노랑</t>
        </is>
      </c>
      <c r="F34" s="4" t="inlineStr">
        <is>
          <t>압착 단자</t>
        </is>
      </c>
    </row>
    <row r="35">
      <c r="A35" s="4" t="n">
        <v>35</v>
      </c>
      <c r="B35" s="4" t="inlineStr">
        <is>
          <t>실드</t>
        </is>
      </c>
      <c r="C35" s="4" t="inlineStr">
        <is>
          <t>센서 케이블 실드</t>
        </is>
      </c>
      <c r="D35" s="4" t="inlineStr">
        <is>
          <t>단자대 5극</t>
        </is>
      </c>
      <c r="E35" s="4" t="inlineStr">
        <is>
          <t>0.5</t>
        </is>
      </c>
      <c r="F35" s="4" t="inlineStr">
        <is>
          <t>함체측 한쪽만</t>
        </is>
      </c>
    </row>
    <row r="36">
      <c r="A36" s="12" t="inlineStr">
        <is>
          <t>본딩 — ★ 빠뜨리면 안 됩니다</t>
        </is>
      </c>
      <c r="B36" s="13" t="n"/>
      <c r="C36" s="13" t="n"/>
      <c r="D36" s="13" t="n"/>
      <c r="E36" s="13" t="n"/>
      <c r="F36" s="13" t="n"/>
    </row>
    <row r="37">
      <c r="A37" s="10" t="n">
        <v>36</v>
      </c>
      <c r="B37" s="10" t="inlineStr">
        <is>
          <t>본딩</t>
        </is>
      </c>
      <c r="C37" s="10" t="inlineStr">
        <is>
          <t>단자대 5극 (0V)</t>
        </is>
      </c>
      <c r="D37" s="10" t="inlineStr">
        <is>
          <t>단자대 8극</t>
        </is>
      </c>
      <c r="E37" s="10" t="inlineStr">
        <is>
          <t>1.0 회색 점퍼</t>
        </is>
      </c>
      <c r="F37" s="10" t="inlineStr">
        <is>
          <t>★ 필수</t>
        </is>
      </c>
    </row>
    <row r="38">
      <c r="A38" s="10" t="n">
        <v>37</v>
      </c>
      <c r="B38" s="10" t="inlineStr">
        <is>
          <t>본딩</t>
        </is>
      </c>
      <c r="C38" s="10" t="inlineStr">
        <is>
          <t>변환기 : GND</t>
        </is>
      </c>
      <c r="D38" s="10" t="inlineStr">
        <is>
          <t>단자대 8극</t>
        </is>
      </c>
      <c r="E38" s="10" t="inlineStr">
        <is>
          <t>1.0 회색</t>
        </is>
      </c>
      <c r="F38" s="10" t="inlineStr">
        <is>
          <t>★ 필수</t>
        </is>
      </c>
    </row>
    <row r="39">
      <c r="A39" s="4" t="n">
        <v>38</v>
      </c>
      <c r="B39" s="4" t="inlineStr">
        <is>
          <t>LK2</t>
        </is>
      </c>
      <c r="C39" s="4" t="inlineStr">
        <is>
          <t>단자대 5극 (0V)</t>
        </is>
      </c>
      <c r="D39" s="4" t="inlineStr">
        <is>
          <t>단자대 3극 (PE)</t>
        </is>
      </c>
      <c r="E39" s="4" t="inlineStr">
        <is>
          <t>0.75 녹/황</t>
        </is>
      </c>
      <c r="F39" s="4" t="inlineStr">
        <is>
          <t>선택 · 기본 장착</t>
        </is>
      </c>
    </row>
    <row r="40">
      <c r="A40" s="12" t="inlineStr">
        <is>
          <t>도어 — 파이 · 디스플레이</t>
        </is>
      </c>
      <c r="B40" s="13" t="n"/>
      <c r="C40" s="13" t="n"/>
      <c r="D40" s="13" t="n"/>
      <c r="E40" s="13" t="n"/>
      <c r="F40" s="13" t="n"/>
    </row>
    <row r="41">
      <c r="A41" s="4" t="n">
        <v>39</v>
      </c>
      <c r="B41" s="4" t="inlineStr">
        <is>
          <t>AC</t>
        </is>
      </c>
      <c r="C41" s="4" t="inlineStr">
        <is>
          <t>콘센트</t>
        </is>
      </c>
      <c r="D41" s="4" t="inlineStr">
        <is>
          <t>파이 어댑터</t>
        </is>
      </c>
      <c r="E41" s="4" t="inlineStr">
        <is>
          <t>220V 코드</t>
        </is>
      </c>
      <c r="F41" s="4" t="inlineStr">
        <is>
          <t>어댑터 고정 필수</t>
        </is>
      </c>
    </row>
    <row r="42">
      <c r="A42" s="4" t="n">
        <v>40</v>
      </c>
      <c r="B42" s="4" t="inlineStr">
        <is>
          <t>5V</t>
        </is>
      </c>
      <c r="C42" s="4" t="inlineStr">
        <is>
          <t>파이 어댑터</t>
        </is>
      </c>
      <c r="D42" s="4" t="inlineStr">
        <is>
          <t>파이 USB-C</t>
        </is>
      </c>
      <c r="E42" s="4" t="inlineStr">
        <is>
          <t>어댑터 기본 케이블</t>
        </is>
      </c>
      <c r="F42" s="4" t="inlineStr">
        <is>
          <t>클램프 고정</t>
        </is>
      </c>
    </row>
    <row r="43">
      <c r="A43" s="4" t="n">
        <v>41</v>
      </c>
      <c r="B43" s="4" t="inlineStr">
        <is>
          <t>DSI</t>
        </is>
      </c>
      <c r="C43" s="4" t="inlineStr">
        <is>
          <t>파이 DSI</t>
        </is>
      </c>
      <c r="D43" s="4" t="inlineStr">
        <is>
          <t>디스플레이</t>
        </is>
      </c>
      <c r="E43" s="4" t="inlineStr">
        <is>
          <t>DSI 리본</t>
        </is>
      </c>
      <c r="F43" s="4" t="inlineStr">
        <is>
          <t>파이가 디스플레이 뒷면</t>
        </is>
      </c>
    </row>
    <row r="44">
      <c r="A44" s="4" t="n">
        <v>42</v>
      </c>
      <c r="B44" s="4" t="inlineStr">
        <is>
          <t>5V</t>
        </is>
      </c>
      <c r="C44" s="4" t="inlineStr">
        <is>
          <t>파이 GPIO 5V/GND</t>
        </is>
      </c>
      <c r="D44" s="4" t="inlineStr">
        <is>
          <t>디스플레이</t>
        </is>
      </c>
      <c r="E44" s="4" t="inlineStr">
        <is>
          <t>기본 점퍼</t>
        </is>
      </c>
      <c r="F44" s="4" t="inlineStr"/>
    </row>
    <row r="45">
      <c r="A45" s="4" t="n">
        <v>43</v>
      </c>
      <c r="B45" s="4" t="inlineStr">
        <is>
          <t>USB</t>
        </is>
      </c>
      <c r="C45" s="4" t="inlineStr">
        <is>
          <t>파이 USB</t>
        </is>
      </c>
      <c r="D45" s="4" t="inlineStr">
        <is>
          <t>USB-RS485 변환기</t>
        </is>
      </c>
      <c r="E45" s="4" t="inlineStr">
        <is>
          <t>USB 단척</t>
        </is>
      </c>
      <c r="F45" s="4" t="inlineStr"/>
    </row>
    <row r="46">
      <c r="A46" s="4" t="n">
        <v>44</v>
      </c>
      <c r="B46" s="4" t="inlineStr">
        <is>
          <t>USB</t>
        </is>
      </c>
      <c r="C46" s="4" t="inlineStr">
        <is>
          <t>파이 USB</t>
        </is>
      </c>
      <c r="D46" s="4" t="inlineStr">
        <is>
          <t>SSD</t>
        </is>
      </c>
      <c r="E46" s="4" t="inlineStr">
        <is>
          <t>USB 3.0 단척</t>
        </is>
      </c>
      <c r="F46" s="4" t="inlineStr"/>
    </row>
    <row r="47">
      <c r="A47" s="4" t="n">
        <v>45</v>
      </c>
      <c r="B47" s="4" t="inlineStr">
        <is>
          <t>I2C</t>
        </is>
      </c>
      <c r="C47" s="4" t="inlineStr">
        <is>
          <t>파이 GPIO 1·3·5·9</t>
        </is>
      </c>
      <c r="D47" s="4" t="inlineStr">
        <is>
          <t>RTC DS3231</t>
        </is>
      </c>
      <c r="E47" s="4" t="inlineStr">
        <is>
          <t>I2C 4선</t>
        </is>
      </c>
      <c r="F47" s="4" t="inlineStr"/>
    </row>
    <row r="48">
      <c r="A48" s="10" t="n">
        <v>46</v>
      </c>
      <c r="B48" s="10" t="inlineStr">
        <is>
          <t>RS485</t>
        </is>
      </c>
      <c r="C48" s="10" t="inlineStr">
        <is>
          <t>변환기 A/B/GND</t>
        </is>
      </c>
      <c r="D48" s="10" t="inlineStr">
        <is>
          <t>단자대 6·7·8극</t>
        </is>
      </c>
      <c r="E48" s="10" t="inlineStr">
        <is>
          <t>0.5 / 1.0</t>
        </is>
      </c>
      <c r="F48" s="10" t="inlineStr">
        <is>
          <t>★ 도어 가동부 통과 — 힌지쪽 여유 곡선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52" customWidth="1" min="5" max="5"/>
  </cols>
  <sheetData>
    <row r="1">
      <c r="A1" s="1" t="inlineStr">
        <is>
          <t>전력 예산 · 열 설계</t>
        </is>
      </c>
    </row>
    <row r="2">
      <c r="A2" s="2" t="inlineStr">
        <is>
          <t>파란 글씨 = 입력값 / 검정 = 수식.  내부발열 Y = 함체 안에서 열이 되는 것, N = 밖으로 나가는 것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단위</t>
        </is>
      </c>
      <c r="D4" s="3" t="inlineStr">
        <is>
          <t>내부발열</t>
        </is>
      </c>
      <c r="E4" s="3" t="inlineStr">
        <is>
          <t>근거</t>
        </is>
      </c>
    </row>
    <row r="5">
      <c r="A5" s="8" t="inlineStr">
        <is>
          <t>파이 4 (크로미움 키오스크)</t>
        </is>
      </c>
      <c r="B5" s="14" t="n">
        <v>7</v>
      </c>
      <c r="C5" s="8" t="inlineStr">
        <is>
          <t>W</t>
        </is>
      </c>
      <c r="D5" s="15" t="inlineStr">
        <is>
          <t>Y</t>
        </is>
      </c>
      <c r="E5" s="8" t="inlineStr">
        <is>
          <t>피크 기준</t>
        </is>
      </c>
    </row>
    <row r="6">
      <c r="A6" s="8" t="inlineStr">
        <is>
          <t>7인치 디스플레이</t>
        </is>
      </c>
      <c r="B6" s="14" t="n">
        <v>3</v>
      </c>
      <c r="C6" s="8" t="inlineStr">
        <is>
          <t>W</t>
        </is>
      </c>
      <c r="D6" s="15" t="inlineStr">
        <is>
          <t>Y</t>
        </is>
      </c>
      <c r="E6" s="8" t="inlineStr">
        <is>
          <t>백라이트 최대 포함</t>
        </is>
      </c>
    </row>
    <row r="7">
      <c r="A7" s="8" t="inlineStr">
        <is>
          <t>파이 어댑터 손실</t>
        </is>
      </c>
      <c r="B7" s="14" t="n">
        <v>1.8</v>
      </c>
      <c r="C7" s="8" t="inlineStr">
        <is>
          <t>W</t>
        </is>
      </c>
      <c r="D7" s="15" t="inlineStr">
        <is>
          <t>Y</t>
        </is>
      </c>
      <c r="E7" s="8" t="inlineStr">
        <is>
          <t>효율 0.85, 출력 10W 기준</t>
        </is>
      </c>
    </row>
    <row r="8">
      <c r="A8" s="8" t="inlineStr">
        <is>
          <t>USB-RS485 변환기</t>
        </is>
      </c>
      <c r="B8" s="14" t="n">
        <v>0.1</v>
      </c>
      <c r="C8" s="8" t="inlineStr">
        <is>
          <t>W</t>
        </is>
      </c>
      <c r="D8" s="15" t="inlineStr">
        <is>
          <t>Y</t>
        </is>
      </c>
      <c r="E8" s="8" t="inlineStr"/>
    </row>
    <row r="9">
      <c r="A9" s="8" t="inlineStr">
        <is>
          <t>SMPS 손실 (경부하)</t>
        </is>
      </c>
      <c r="B9" s="14" t="n">
        <v>1.5</v>
      </c>
      <c r="C9" s="8" t="inlineStr">
        <is>
          <t>W</t>
        </is>
      </c>
      <c r="D9" s="15" t="inlineStr">
        <is>
          <t>Y</t>
        </is>
      </c>
      <c r="E9" s="8" t="inlineStr">
        <is>
          <t>부하율 2% 라 무부하 손실이 지배</t>
        </is>
      </c>
    </row>
    <row r="10">
      <c r="A10" s="8" t="inlineStr">
        <is>
          <t>센서 3대 @ 12V</t>
        </is>
      </c>
      <c r="B10" s="14" t="n">
        <v>1.2</v>
      </c>
      <c r="C10" s="8" t="inlineStr">
        <is>
          <t>W</t>
        </is>
      </c>
      <c r="D10" s="16" t="inlineStr">
        <is>
          <t>N</t>
        </is>
      </c>
      <c r="E10" s="8" t="inlineStr">
        <is>
          <t>케이블로 함체 밖 센서에서 소비 — 내부 발열 아님</t>
        </is>
      </c>
    </row>
    <row r="11">
      <c r="A11" s="17" t="inlineStr">
        <is>
          <t>AC 총 소비</t>
        </is>
      </c>
      <c r="B11" s="17">
        <f>SUM(B5:B10)</f>
        <v>14.6</v>
      </c>
      <c r="C11" s="17" t="inlineStr">
        <is>
          <t>W</t>
        </is>
      </c>
      <c r="D11" s="18" t="n"/>
      <c r="E11" s="8" t="inlineStr">
        <is>
          <t>정격 라벨용</t>
        </is>
      </c>
    </row>
    <row r="12">
      <c r="A12" s="12" t="inlineStr">
        <is>
          <t>함체 내부 발열</t>
        </is>
      </c>
      <c r="B12" s="12">
        <f>SUMIF(D5:D10,"Y",B5:B10)</f>
        <v>13.4</v>
      </c>
      <c r="C12" s="12" t="inlineStr">
        <is>
          <t>W</t>
        </is>
      </c>
      <c r="D12" s="13" t="n"/>
      <c r="E12" s="19" t="inlineStr">
        <is>
          <t>열 설계의 입력값</t>
        </is>
      </c>
    </row>
    <row r="14">
      <c r="A14" s="1" t="inlineStr">
        <is>
          <t>열 설계 — 하이박스 300 × 300 × 165</t>
        </is>
      </c>
    </row>
    <row r="16">
      <c r="A16" s="3" t="inlineStr">
        <is>
          <t>항목</t>
        </is>
      </c>
      <c r="B16" s="3" t="inlineStr">
        <is>
          <t>값</t>
        </is>
      </c>
      <c r="C16" s="3" t="inlineStr">
        <is>
          <t>단위</t>
        </is>
      </c>
      <c r="D16" s="3" t="inlineStr"/>
      <c r="E16" s="3" t="inlineStr">
        <is>
          <t>근거</t>
        </is>
      </c>
    </row>
    <row r="17">
      <c r="A17" s="8" t="inlineStr">
        <is>
          <t>외형 W</t>
        </is>
      </c>
      <c r="B17" s="14" t="n">
        <v>300</v>
      </c>
      <c r="C17" s="8" t="inlineStr">
        <is>
          <t>mm</t>
        </is>
      </c>
      <c r="D17" s="18" t="n"/>
      <c r="E17" s="8" t="inlineStr">
        <is>
          <t>확정</t>
        </is>
      </c>
    </row>
    <row r="18">
      <c r="A18" s="8" t="inlineStr">
        <is>
          <t>외형 H</t>
        </is>
      </c>
      <c r="B18" s="14" t="n">
        <v>300</v>
      </c>
      <c r="C18" s="8" t="inlineStr">
        <is>
          <t>mm</t>
        </is>
      </c>
      <c r="D18" s="18" t="n"/>
      <c r="E18" s="8" t="inlineStr">
        <is>
          <t>확정</t>
        </is>
      </c>
    </row>
    <row r="19">
      <c r="A19" s="8" t="inlineStr">
        <is>
          <t>외형 D</t>
        </is>
      </c>
      <c r="B19" s="14" t="n">
        <v>165</v>
      </c>
      <c r="C19" s="8" t="inlineStr">
        <is>
          <t>mm</t>
        </is>
      </c>
      <c r="D19" s="18" t="n"/>
      <c r="E19" s="8" t="inlineStr">
        <is>
          <t>확정</t>
        </is>
      </c>
    </row>
    <row r="20">
      <c r="A20" s="8" t="inlineStr">
        <is>
          <t>열전달계수 k</t>
        </is>
      </c>
      <c r="B20" s="14" t="n">
        <v>3.5</v>
      </c>
      <c r="C20" s="8" t="inlineStr">
        <is>
          <t>W/㎡·K</t>
        </is>
      </c>
      <c r="D20" s="18" t="n"/>
      <c r="E20" s="8" t="inlineStr">
        <is>
          <t>플라스틱 자연대류</t>
        </is>
      </c>
    </row>
    <row r="21">
      <c r="A21" s="8" t="inlineStr">
        <is>
          <t>전체 표면적</t>
        </is>
      </c>
      <c r="B21" s="8">
        <f>2*(B17*B18+B17*B19+B18*B19)/1000000</f>
        <v>0.378</v>
      </c>
      <c r="C21" s="8" t="inlineStr">
        <is>
          <t>㎡</t>
        </is>
      </c>
      <c r="D21" s="18" t="n"/>
      <c r="E21" s="8" t="inlineStr">
        <is>
          <t>6면 합</t>
        </is>
      </c>
    </row>
    <row r="22">
      <c r="A22" s="8" t="inlineStr">
        <is>
          <t>유효 표면적</t>
        </is>
      </c>
      <c r="B22" s="8">
        <f>B21-(B17*B18)/1000000</f>
        <v>0.288</v>
      </c>
      <c r="C22" s="8" t="inlineStr">
        <is>
          <t>㎡</t>
        </is>
      </c>
      <c r="D22" s="18" t="n"/>
      <c r="E22" s="8" t="inlineStr">
        <is>
          <t>벽부 설치 — 후면 제외</t>
        </is>
      </c>
    </row>
    <row r="23">
      <c r="A23" s="8" t="inlineStr">
        <is>
          <t>내부 온도 상승 ΔT</t>
        </is>
      </c>
      <c r="B23" s="8">
        <f>B12/(B20*B22)</f>
        <v>13.29</v>
      </c>
      <c r="C23" s="8" t="inlineStr">
        <is>
          <t>K</t>
        </is>
      </c>
      <c r="D23" s="18" t="n"/>
      <c r="E23" s="8" t="inlineStr">
        <is>
          <t>내부 발열 / (k × 유효면적)</t>
        </is>
      </c>
    </row>
    <row r="24">
      <c r="A24" s="17" t="inlineStr">
        <is>
          <t>여름 그늘 40℃ 에서 내부</t>
        </is>
      </c>
      <c r="B24" s="17">
        <f>40+B23</f>
        <v>53.29</v>
      </c>
      <c r="C24" s="8" t="inlineStr">
        <is>
          <t>℃</t>
        </is>
      </c>
      <c r="D24" s="18" t="n"/>
      <c r="E24" s="8" t="inlineStr">
        <is>
          <t>허용 (CPU 약 70℃, 스로틀 80℃)</t>
        </is>
      </c>
    </row>
    <row r="26">
      <c r="A26" s="5" t="inlineStr">
        <is>
          <t>직사광에 노출되면 내부가 70℃ 를 넘습니다. 그늘에 설치하거나 차양(SH-05)을 다십시오. 환기 팬·통풍구는 달지 마십시오 — 염분과 습기를 빨아들여 방열로 얻는 것보다 부식으로 잃는 것이 큽니다.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26" customWidth="1" min="12" max="12"/>
  </cols>
  <sheetData>
    <row r="1">
      <c r="A1" s="1" t="inlineStr">
        <is>
          <t>하이박스 규격 비교</t>
        </is>
      </c>
    </row>
    <row r="2">
      <c r="A2" s="2" t="inlineStr">
        <is>
          <t>파란 글씨 = 입력값. 내부 추정과 판정은 수식입니다.</t>
        </is>
      </c>
    </row>
    <row r="4">
      <c r="A4" s="3" t="inlineStr">
        <is>
          <t>#</t>
        </is>
      </c>
      <c r="B4" s="3" t="inlineStr">
        <is>
          <t>외형 W</t>
        </is>
      </c>
      <c r="C4" s="3" t="inlineStr">
        <is>
          <t>외형 H</t>
        </is>
      </c>
      <c r="D4" s="3" t="inlineStr">
        <is>
          <t>외형 D</t>
        </is>
      </c>
      <c r="E4" s="3" t="inlineStr">
        <is>
          <t>내부 W</t>
        </is>
      </c>
      <c r="F4" s="3" t="inlineStr">
        <is>
          <t>내부 H</t>
        </is>
      </c>
      <c r="G4" s="3" t="inlineStr">
        <is>
          <t>내부 D</t>
        </is>
      </c>
      <c r="H4" s="3" t="inlineStr">
        <is>
          <t>여유 W</t>
        </is>
      </c>
      <c r="I4" s="3" t="inlineStr">
        <is>
          <t>여유 H</t>
        </is>
      </c>
      <c r="J4" s="3" t="inlineStr">
        <is>
          <t>여유 D</t>
        </is>
      </c>
      <c r="K4" s="3" t="inlineStr">
        <is>
          <t>판정</t>
        </is>
      </c>
      <c r="L4" s="3" t="inlineStr">
        <is>
          <t>비고</t>
        </is>
      </c>
    </row>
    <row r="5">
      <c r="A5" s="8" t="n">
        <v>1</v>
      </c>
      <c r="B5" s="14" t="n">
        <v>100</v>
      </c>
      <c r="C5" s="14" t="n">
        <v>150</v>
      </c>
      <c r="D5" s="14" t="n">
        <v>80</v>
      </c>
      <c r="E5" s="8">
        <f>B5-$B$17</f>
        <v>85</v>
      </c>
      <c r="F5" s="8">
        <f>C5-$B$17</f>
        <v>135</v>
      </c>
      <c r="G5" s="8">
        <f>D5-$B$18</f>
        <v>57</v>
      </c>
      <c r="H5" s="8">
        <f>E5-$B$19</f>
        <v>-165</v>
      </c>
      <c r="I5" s="8">
        <f>F5-$B$20</f>
        <v>-85</v>
      </c>
      <c r="J5" s="8">
        <f>G5-$B$21</f>
        <v>-63</v>
      </c>
      <c r="K5" s="8" t="str">
        <f>IF(AND(H5&gt;=0,I5&gt;=0,J5&gt;=0),"가능","불가")</f>
        <v>불가</v>
      </c>
      <c r="L5" s="8" t="inlineStr"/>
    </row>
    <row r="6">
      <c r="A6" s="8" t="n">
        <v>2</v>
      </c>
      <c r="B6" s="14" t="n">
        <v>150</v>
      </c>
      <c r="C6" s="14" t="n">
        <v>150</v>
      </c>
      <c r="D6" s="14" t="n">
        <v>90</v>
      </c>
      <c r="E6" s="8">
        <f>B6-$B$17</f>
        <v>135</v>
      </c>
      <c r="F6" s="8">
        <f>C6-$B$17</f>
        <v>135</v>
      </c>
      <c r="G6" s="8">
        <f>D6-$B$18</f>
        <v>67</v>
      </c>
      <c r="H6" s="8">
        <f>E6-$B$19</f>
        <v>-115</v>
      </c>
      <c r="I6" s="8">
        <f>F6-$B$20</f>
        <v>-85</v>
      </c>
      <c r="J6" s="8">
        <f>G6-$B$21</f>
        <v>-53</v>
      </c>
      <c r="K6" s="8" t="str">
        <f>IF(AND(H6&gt;=0,I6&gt;=0,J6&gt;=0),"가능","불가")</f>
        <v>불가</v>
      </c>
      <c r="L6" s="8" t="inlineStr"/>
    </row>
    <row r="7">
      <c r="A7" s="8" t="n">
        <v>3</v>
      </c>
      <c r="B7" s="14" t="n">
        <v>150</v>
      </c>
      <c r="C7" s="14" t="n">
        <v>200</v>
      </c>
      <c r="D7" s="14" t="n">
        <v>130</v>
      </c>
      <c r="E7" s="8">
        <f>B7-$B$17</f>
        <v>135</v>
      </c>
      <c r="F7" s="8">
        <f>C7-$B$17</f>
        <v>185</v>
      </c>
      <c r="G7" s="8">
        <f>D7-$B$18</f>
        <v>107</v>
      </c>
      <c r="H7" s="8">
        <f>E7-$B$19</f>
        <v>-115</v>
      </c>
      <c r="I7" s="8">
        <f>F7-$B$20</f>
        <v>-35</v>
      </c>
      <c r="J7" s="8">
        <f>G7-$B$21</f>
        <v>-13</v>
      </c>
      <c r="K7" s="8" t="str">
        <f>IF(AND(H7&gt;=0,I7&gt;=0,J7&gt;=0),"가능","불가")</f>
        <v>불가</v>
      </c>
      <c r="L7" s="8" t="inlineStr"/>
    </row>
    <row r="8">
      <c r="A8" s="8" t="n">
        <v>4</v>
      </c>
      <c r="B8" s="14" t="n">
        <v>200</v>
      </c>
      <c r="C8" s="14" t="n">
        <v>300</v>
      </c>
      <c r="D8" s="14" t="n">
        <v>130</v>
      </c>
      <c r="E8" s="8">
        <f>B8-$B$17</f>
        <v>185</v>
      </c>
      <c r="F8" s="8">
        <f>C8-$B$17</f>
        <v>285</v>
      </c>
      <c r="G8" s="8">
        <f>D8-$B$18</f>
        <v>107</v>
      </c>
      <c r="H8" s="8">
        <f>E8-$B$19</f>
        <v>-65</v>
      </c>
      <c r="I8" s="8">
        <f>F8-$B$20</f>
        <v>65</v>
      </c>
      <c r="J8" s="8">
        <f>G8-$B$21</f>
        <v>-13</v>
      </c>
      <c r="K8" s="8" t="str">
        <f>IF(AND(H8&gt;=0,I8&gt;=0,J8&gt;=0),"가능","불가")</f>
        <v>불가</v>
      </c>
      <c r="L8" s="8" t="inlineStr">
        <is>
          <t>깊이 부족</t>
        </is>
      </c>
    </row>
    <row r="9">
      <c r="A9" s="19" t="n">
        <v>5</v>
      </c>
      <c r="B9" s="20" t="n">
        <v>300</v>
      </c>
      <c r="C9" s="20" t="n">
        <v>300</v>
      </c>
      <c r="D9" s="20" t="n">
        <v>165</v>
      </c>
      <c r="E9" s="19">
        <f>B9-$B$17</f>
        <v>285</v>
      </c>
      <c r="F9" s="19">
        <f>C9-$B$17</f>
        <v>285</v>
      </c>
      <c r="G9" s="19">
        <f>D9-$B$18</f>
        <v>142</v>
      </c>
      <c r="H9" s="19">
        <f>E9-$B$19</f>
        <v>35</v>
      </c>
      <c r="I9" s="19">
        <f>F9-$B$20</f>
        <v>65</v>
      </c>
      <c r="J9" s="19">
        <f>G9-$B$21</f>
        <v>22</v>
      </c>
      <c r="K9" s="19" t="str">
        <f>IF(AND(H9&gt;=0,I9&gt;=0,J9&gt;=0),"가능","불가")</f>
        <v>가능</v>
      </c>
      <c r="L9" s="19" t="inlineStr">
        <is>
          <t>★ 선정 — 깊이 여유 최대, 정사각이라 표기 혼동 없음</t>
        </is>
      </c>
    </row>
    <row r="10">
      <c r="A10" s="8" t="n">
        <v>6</v>
      </c>
      <c r="B10" s="14" t="n">
        <v>300</v>
      </c>
      <c r="C10" s="14" t="n">
        <v>400</v>
      </c>
      <c r="D10" s="14" t="n">
        <v>150</v>
      </c>
      <c r="E10" s="8">
        <f>B10-$B$17</f>
        <v>285</v>
      </c>
      <c r="F10" s="8">
        <f>C10-$B$17</f>
        <v>385</v>
      </c>
      <c r="G10" s="8">
        <f>D10-$B$18</f>
        <v>127</v>
      </c>
      <c r="H10" s="8">
        <f>E10-$B$19</f>
        <v>35</v>
      </c>
      <c r="I10" s="8">
        <f>F10-$B$20</f>
        <v>165</v>
      </c>
      <c r="J10" s="8">
        <f>G10-$B$21</f>
        <v>7</v>
      </c>
      <c r="K10" s="8" t="str">
        <f>IF(AND(H10&gt;=0,I10&gt;=0,J10&gt;=0),"가능","불가")</f>
        <v>가능</v>
      </c>
      <c r="L10" s="8" t="inlineStr">
        <is>
          <t>가능하나 깊이 여유 7mm</t>
        </is>
      </c>
    </row>
    <row r="11">
      <c r="A11" s="8" t="n">
        <v>7</v>
      </c>
      <c r="B11" s="14" t="n">
        <v>400</v>
      </c>
      <c r="C11" s="14" t="n">
        <v>500</v>
      </c>
      <c r="D11" s="14" t="n">
        <v>160</v>
      </c>
      <c r="E11" s="8">
        <f>B11-$B$17</f>
        <v>385</v>
      </c>
      <c r="F11" s="8">
        <f>C11-$B$17</f>
        <v>485</v>
      </c>
      <c r="G11" s="8">
        <f>D11-$B$18</f>
        <v>137</v>
      </c>
      <c r="H11" s="8">
        <f>E11-$B$19</f>
        <v>135</v>
      </c>
      <c r="I11" s="8">
        <f>F11-$B$20</f>
        <v>265</v>
      </c>
      <c r="J11" s="8">
        <f>G11-$B$21</f>
        <v>17</v>
      </c>
      <c r="K11" s="8" t="str">
        <f>IF(AND(H11&gt;=0,I11&gt;=0,J11&gt;=0),"가능","불가")</f>
        <v>가능</v>
      </c>
      <c r="L11" s="8" t="inlineStr">
        <is>
          <t>과대</t>
        </is>
      </c>
    </row>
    <row r="12">
      <c r="A12" s="8" t="n">
        <v>8</v>
      </c>
      <c r="B12" s="14" t="n">
        <v>500</v>
      </c>
      <c r="C12" s="14" t="n">
        <v>600</v>
      </c>
      <c r="D12" s="14" t="n">
        <v>190</v>
      </c>
      <c r="E12" s="8">
        <f>B12-$B$17</f>
        <v>485</v>
      </c>
      <c r="F12" s="8">
        <f>C12-$B$17</f>
        <v>585</v>
      </c>
      <c r="G12" s="8">
        <f>D12-$B$18</f>
        <v>167</v>
      </c>
      <c r="H12" s="8">
        <f>E12-$B$19</f>
        <v>235</v>
      </c>
      <c r="I12" s="8">
        <f>F12-$B$20</f>
        <v>365</v>
      </c>
      <c r="J12" s="8">
        <f>G12-$B$21</f>
        <v>47</v>
      </c>
      <c r="K12" s="8" t="str">
        <f>IF(AND(H12&gt;=0,I12&gt;=0,J12&gt;=0),"가능","불가")</f>
        <v>가능</v>
      </c>
      <c r="L12" s="8" t="inlineStr">
        <is>
          <t>과대</t>
        </is>
      </c>
    </row>
    <row r="13">
      <c r="A13" s="8" t="n">
        <v>9</v>
      </c>
      <c r="B13" s="14" t="n">
        <v>600</v>
      </c>
      <c r="C13" s="14" t="n">
        <v>700</v>
      </c>
      <c r="D13" s="14" t="n">
        <v>200</v>
      </c>
      <c r="E13" s="8">
        <f>B13-$B$17</f>
        <v>585</v>
      </c>
      <c r="F13" s="8">
        <f>C13-$B$17</f>
        <v>685</v>
      </c>
      <c r="G13" s="8">
        <f>D13-$B$18</f>
        <v>177</v>
      </c>
      <c r="H13" s="8">
        <f>E13-$B$19</f>
        <v>335</v>
      </c>
      <c r="I13" s="8">
        <f>F13-$B$20</f>
        <v>465</v>
      </c>
      <c r="J13" s="8">
        <f>G13-$B$21</f>
        <v>57</v>
      </c>
      <c r="K13" s="8" t="str">
        <f>IF(AND(H13&gt;=0,I13&gt;=0,J13&gt;=0),"가능","불가")</f>
        <v>가능</v>
      </c>
      <c r="L13" s="8" t="inlineStr">
        <is>
          <t>과대</t>
        </is>
      </c>
    </row>
    <row r="14">
      <c r="A14" s="8" t="n">
        <v>10</v>
      </c>
      <c r="B14" s="14" t="n">
        <v>90</v>
      </c>
      <c r="C14" s="14" t="n">
        <v>135</v>
      </c>
      <c r="D14" s="14" t="n">
        <v>85</v>
      </c>
      <c r="E14" s="8">
        <f>B14-$B$17</f>
        <v>75</v>
      </c>
      <c r="F14" s="8">
        <f>C14-$B$17</f>
        <v>120</v>
      </c>
      <c r="G14" s="8">
        <f>D14-$B$18</f>
        <v>62</v>
      </c>
      <c r="H14" s="8">
        <f>E14-$B$19</f>
        <v>-175</v>
      </c>
      <c r="I14" s="8">
        <f>F14-$B$20</f>
        <v>-100</v>
      </c>
      <c r="J14" s="8">
        <f>G14-$B$21</f>
        <v>-58</v>
      </c>
      <c r="K14" s="8" t="str">
        <f>IF(AND(H14&gt;=0,I14&gt;=0,J14&gt;=0),"가능","불가")</f>
        <v>불가</v>
      </c>
      <c r="L14" s="8" t="inlineStr"/>
    </row>
    <row r="16">
      <c r="A16" s="7" t="inlineStr">
        <is>
          <t>가정값·요구값 (여기를 고치면 위 표가 다시 계산됩니다)</t>
        </is>
      </c>
    </row>
    <row r="17">
      <c r="A17" s="8" t="inlineStr">
        <is>
          <t>W·H 벽두께+실링립 손실</t>
        </is>
      </c>
      <c r="B17" s="21" t="n">
        <v>15</v>
      </c>
      <c r="C17" s="8" t="inlineStr">
        <is>
          <t>mm — 외형에서 빼는 값 (추정)</t>
        </is>
      </c>
    </row>
    <row r="18">
      <c r="A18" s="8" t="inlineStr">
        <is>
          <t>D 후면벽+도어립 손실</t>
        </is>
      </c>
      <c r="B18" s="21" t="n">
        <v>23</v>
      </c>
      <c r="C18" s="8" t="inlineStr">
        <is>
          <t>mm — 외형에서 빼는 값 (추정)</t>
        </is>
      </c>
    </row>
    <row r="19">
      <c r="A19" s="8" t="inlineStr">
        <is>
          <t>요구 내부 W</t>
        </is>
      </c>
      <c r="B19" s="21" t="n">
        <v>250</v>
      </c>
      <c r="C19" s="8" t="inlineStr">
        <is>
          <t>mm — 도어에 디스플레이 194 + 개스킷·립</t>
        </is>
      </c>
    </row>
    <row r="20">
      <c r="A20" s="8" t="inlineStr">
        <is>
          <t>요구 내부 H</t>
        </is>
      </c>
      <c r="B20" s="21" t="n">
        <v>220</v>
      </c>
      <c r="C20" s="8" t="inlineStr">
        <is>
          <t>mm — SMPS·콘센트·단자대 + 배선 여유</t>
        </is>
      </c>
    </row>
    <row r="21">
      <c r="A21" s="8" t="inlineStr">
        <is>
          <t>요구 내부 D</t>
        </is>
      </c>
      <c r="B21" s="21" t="n">
        <v>120</v>
      </c>
      <c r="C21" s="8" t="inlineStr">
        <is>
          <t>mm — SMPS 스택 + 디스플레이 스택 96.5 + 여유</t>
        </is>
      </c>
    </row>
    <row r="23">
      <c r="A23" s="5" t="inlineStr">
        <is>
          <t>내부 추정치는 카탈로그 외형에서 가정값을 뺀 것입니다. 실제 내부 유효치수는 제품마다 20mm 이상 차이 날 수 있으므로, 함체를 사서 실측한 뒤 이 시트와 도면 PARAMS 를 갱신하십시오.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1" t="inlineStr">
        <is>
          <t>타공 좌표</t>
        </is>
      </c>
    </row>
    <row r="2">
      <c r="A2" s="2" t="inlineStr">
        <is>
          <t>하부면: X = 좌우 중심 기준 / Y = 후면 외벽 기준.  백플레이트: 판 중심 기준.</t>
        </is>
      </c>
    </row>
    <row r="4">
      <c r="A4" s="3" t="inlineStr">
        <is>
          <t>도면</t>
        </is>
      </c>
      <c r="B4" s="3" t="inlineStr">
        <is>
          <t>이름</t>
        </is>
      </c>
      <c r="C4" s="3" t="inlineStr">
        <is>
          <t>X</t>
        </is>
      </c>
      <c r="D4" s="3" t="inlineStr">
        <is>
          <t>Y</t>
        </is>
      </c>
      <c r="E4" s="3" t="inlineStr">
        <is>
          <t>지름 Ø</t>
        </is>
      </c>
      <c r="F4" s="3" t="inlineStr">
        <is>
          <t>비고</t>
        </is>
      </c>
    </row>
    <row r="5">
      <c r="A5" s="4" t="inlineStr">
        <is>
          <t>SH-02 하부면</t>
        </is>
      </c>
      <c r="B5" s="4" t="inlineStr">
        <is>
          <t>VENT</t>
        </is>
      </c>
      <c r="C5" s="4" t="n">
        <v>-105</v>
      </c>
      <c r="D5" s="4" t="n">
        <v>100</v>
      </c>
      <c r="E5" s="4" t="n">
        <v>12.5</v>
      </c>
      <c r="F5" s="4" t="inlineStr">
        <is>
          <t>고어텍스 통기 벤트 M12×1.5</t>
        </is>
      </c>
    </row>
    <row r="6">
      <c r="A6" s="4" t="inlineStr">
        <is>
          <t>SH-02 하부면</t>
        </is>
      </c>
      <c r="B6" s="4" t="inlineStr">
        <is>
          <t>센서 1 pH</t>
        </is>
      </c>
      <c r="C6" s="4" t="n">
        <v>-54</v>
      </c>
      <c r="D6" s="4" t="n">
        <v>100</v>
      </c>
      <c r="E6" s="4" t="n">
        <v>16.5</v>
      </c>
      <c r="F6" s="4" t="inlineStr">
        <is>
          <t>M12 A-coded</t>
        </is>
      </c>
    </row>
    <row r="7">
      <c r="A7" s="4" t="inlineStr">
        <is>
          <t>SH-02 하부면</t>
        </is>
      </c>
      <c r="B7" s="4" t="inlineStr">
        <is>
          <t>센서 2 DO</t>
        </is>
      </c>
      <c r="C7" s="4" t="n">
        <v>-18</v>
      </c>
      <c r="D7" s="4" t="n">
        <v>100</v>
      </c>
      <c r="E7" s="4" t="n">
        <v>16.5</v>
      </c>
      <c r="F7" s="4" t="inlineStr">
        <is>
          <t>M12 A-coded</t>
        </is>
      </c>
    </row>
    <row r="8">
      <c r="A8" s="4" t="inlineStr">
        <is>
          <t>SH-02 하부면</t>
        </is>
      </c>
      <c r="B8" s="4" t="inlineStr">
        <is>
          <t>센서 3 EC</t>
        </is>
      </c>
      <c r="C8" s="4" t="n">
        <v>18</v>
      </c>
      <c r="D8" s="4" t="n">
        <v>100</v>
      </c>
      <c r="E8" s="4" t="n">
        <v>16.5</v>
      </c>
      <c r="F8" s="4" t="inlineStr">
        <is>
          <t>M12 A-coded</t>
        </is>
      </c>
    </row>
    <row r="9">
      <c r="A9" s="4" t="inlineStr">
        <is>
          <t>SH-02 하부면</t>
        </is>
      </c>
      <c r="B9" s="4" t="inlineStr">
        <is>
          <t>예비</t>
        </is>
      </c>
      <c r="C9" s="4" t="n">
        <v>54</v>
      </c>
      <c r="D9" s="4" t="n">
        <v>100</v>
      </c>
      <c r="E9" s="4" t="n">
        <v>16.5</v>
      </c>
      <c r="F9" s="4" t="inlineStr">
        <is>
          <t>방수캡, 미결선</t>
        </is>
      </c>
    </row>
    <row r="10">
      <c r="A10" s="4" t="inlineStr">
        <is>
          <t>SH-02 하부면</t>
        </is>
      </c>
      <c r="B10" s="4" t="inlineStr">
        <is>
          <t>AC 인입</t>
        </is>
      </c>
      <c r="C10" s="4" t="n">
        <v>105</v>
      </c>
      <c r="D10" s="4" t="n">
        <v>100</v>
      </c>
      <c r="E10" s="4" t="n">
        <v>16.5</v>
      </c>
      <c r="F10" s="4" t="inlineStr">
        <is>
          <t>센서용과 결합 불가한 형식</t>
        </is>
      </c>
    </row>
    <row r="12">
      <c r="A12" s="5" t="inlineStr">
        <is>
          <t>※ Ø16.5 는 M16×1.5 전면체결형 기준입니다. 후면체결형은 Ø12.5 로 다릅니다 — 커넥터 데이터시트 확인 필수</t>
        </is>
      </c>
    </row>
    <row r="14">
      <c r="A14" s="3" t="inlineStr">
        <is>
          <t>도면</t>
        </is>
      </c>
      <c r="B14" s="3" t="inlineStr">
        <is>
          <t>이름</t>
        </is>
      </c>
      <c r="C14" s="3" t="inlineStr">
        <is>
          <t>X</t>
        </is>
      </c>
      <c r="D14" s="3" t="inlineStr">
        <is>
          <t>Y</t>
        </is>
      </c>
      <c r="E14" s="3" t="inlineStr">
        <is>
          <t>지름 Ø</t>
        </is>
      </c>
      <c r="F14" s="3" t="inlineStr">
        <is>
          <t>비고</t>
        </is>
      </c>
    </row>
    <row r="15">
      <c r="A15" s="9" t="inlineStr">
        <is>
          <t>SH-03 백플레이트</t>
        </is>
      </c>
      <c r="B15" s="9" t="inlineStr">
        <is>
          <t>SMPS-1</t>
        </is>
      </c>
      <c r="C15" s="9" t="n">
        <v>-115</v>
      </c>
      <c r="D15" s="9" t="n">
        <v>19</v>
      </c>
      <c r="E15" s="9" t="n">
        <v>4.5</v>
      </c>
      <c r="F15" s="9" t="inlineStr">
        <is>
          <t>⚠ 나사 피치 추정 110 × 78</t>
        </is>
      </c>
    </row>
    <row r="16">
      <c r="A16" s="4" t="inlineStr">
        <is>
          <t>SH-03 백플레이트</t>
        </is>
      </c>
      <c r="B16" s="4" t="inlineStr">
        <is>
          <t>SMPS-2</t>
        </is>
      </c>
      <c r="C16" s="4" t="n">
        <v>-5</v>
      </c>
      <c r="D16" s="4" t="n">
        <v>19</v>
      </c>
      <c r="E16" s="4" t="n">
        <v>4.5</v>
      </c>
      <c r="F16" s="4" t="inlineStr"/>
    </row>
    <row r="17">
      <c r="A17" s="4" t="inlineStr">
        <is>
          <t>SH-03 백플레이트</t>
        </is>
      </c>
      <c r="B17" s="4" t="inlineStr">
        <is>
          <t>SMPS-3</t>
        </is>
      </c>
      <c r="C17" s="4" t="n">
        <v>-115</v>
      </c>
      <c r="D17" s="4" t="n">
        <v>97</v>
      </c>
      <c r="E17" s="4" t="n">
        <v>4.5</v>
      </c>
      <c r="F17" s="4" t="inlineStr"/>
    </row>
    <row r="18">
      <c r="A18" s="4" t="inlineStr">
        <is>
          <t>SH-03 백플레이트</t>
        </is>
      </c>
      <c r="B18" s="4" t="inlineStr">
        <is>
          <t>SMPS-4</t>
        </is>
      </c>
      <c r="C18" s="4" t="n">
        <v>-5</v>
      </c>
      <c r="D18" s="4" t="n">
        <v>97</v>
      </c>
      <c r="E18" s="4" t="n">
        <v>4.5</v>
      </c>
      <c r="F18" s="4" t="inlineStr"/>
    </row>
    <row r="19">
      <c r="A19" s="9" t="inlineStr">
        <is>
          <t>SH-03 백플레이트</t>
        </is>
      </c>
      <c r="B19" s="9" t="inlineStr">
        <is>
          <t>콘센트-1</t>
        </is>
      </c>
      <c r="C19" s="9" t="n">
        <v>68</v>
      </c>
      <c r="D19" s="9" t="n">
        <v>28</v>
      </c>
      <c r="E19" s="9" t="n">
        <v>4.5</v>
      </c>
      <c r="F19" s="9" t="inlineStr">
        <is>
          <t>⚠ 상하 2점 추정 피치 60</t>
        </is>
      </c>
    </row>
    <row r="20">
      <c r="A20" s="4" t="inlineStr">
        <is>
          <t>SH-03 백플레이트</t>
        </is>
      </c>
      <c r="B20" s="4" t="inlineStr">
        <is>
          <t>콘센트-2</t>
        </is>
      </c>
      <c r="C20" s="4" t="n">
        <v>68</v>
      </c>
      <c r="D20" s="4" t="n">
        <v>88</v>
      </c>
      <c r="E20" s="4" t="n">
        <v>4.5</v>
      </c>
      <c r="F20" s="4" t="inlineStr"/>
    </row>
    <row r="21">
      <c r="A21" s="9" t="inlineStr">
        <is>
          <t>SH-03 백플레이트</t>
        </is>
      </c>
      <c r="B21" s="9" t="inlineStr">
        <is>
          <t>단자대-1</t>
        </is>
      </c>
      <c r="C21" s="9" t="n">
        <v>-96</v>
      </c>
      <c r="D21" s="9" t="n">
        <v>-78</v>
      </c>
      <c r="E21" s="9" t="n">
        <v>4.5</v>
      </c>
      <c r="F21" s="9" t="inlineStr">
        <is>
          <t>⚠ 피치 추정 92</t>
        </is>
      </c>
    </row>
    <row r="22">
      <c r="A22" s="4" t="inlineStr">
        <is>
          <t>SH-03 백플레이트</t>
        </is>
      </c>
      <c r="B22" s="4" t="inlineStr">
        <is>
          <t>단자대-2</t>
        </is>
      </c>
      <c r="C22" s="4" t="n">
        <v>-4</v>
      </c>
      <c r="D22" s="4" t="n">
        <v>-78</v>
      </c>
      <c r="E22" s="4" t="n">
        <v>4.5</v>
      </c>
      <c r="F22" s="4" t="inlineStr"/>
    </row>
    <row r="23">
      <c r="A23" s="4" t="inlineStr">
        <is>
          <t>SH-03 백플레이트</t>
        </is>
      </c>
      <c r="B23" s="4" t="inlineStr">
        <is>
          <t>접지 스터드</t>
        </is>
      </c>
      <c r="C23" s="4" t="n">
        <v>112</v>
      </c>
      <c r="D23" s="4" t="n">
        <v>-112</v>
      </c>
      <c r="E23" s="4" t="n">
        <v>4.5</v>
      </c>
      <c r="F23" s="4" t="inlineStr">
        <is>
          <t>톱니와셔로 산화막 관통</t>
        </is>
      </c>
    </row>
    <row r="25">
      <c r="A25" s="5" t="inlineStr">
        <is>
          <t>※ SMPS·콘센트·단자대 세 부품의 외형과 나사 피치는 실물 확인 전 추정치입니다. 실측 후 확정하십시오.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26" customWidth="1" min="4" max="4"/>
    <col width="40" customWidth="1" min="5" max="5"/>
  </cols>
  <sheetData>
    <row r="1">
      <c r="A1" s="1" t="inlineStr">
        <is>
          <t>커넥터 핀맵</t>
        </is>
      </c>
    </row>
    <row r="2">
      <c r="A2" s="7" t="inlineStr">
        <is>
          <t>센서 — M12 A-coded 4핀 (센서 1·2·3)</t>
        </is>
      </c>
    </row>
    <row r="3">
      <c r="A3" s="3" t="inlineStr">
        <is>
          <t>핀</t>
        </is>
      </c>
      <c r="B3" s="3" t="inlineStr">
        <is>
          <t>신호</t>
        </is>
      </c>
      <c r="C3" s="3" t="inlineStr">
        <is>
          <t>센서 케이블 색 (Nengshi)</t>
        </is>
      </c>
      <c r="D3" s="3" t="inlineStr">
        <is>
          <t>표준 M12 케이블 색</t>
        </is>
      </c>
      <c r="E3" s="3" t="inlineStr">
        <is>
          <t>단자대</t>
        </is>
      </c>
    </row>
    <row r="4">
      <c r="A4" s="8" t="n">
        <v>1</v>
      </c>
      <c r="B4" s="8" t="inlineStr">
        <is>
          <t>+12 V</t>
        </is>
      </c>
      <c r="C4" s="8" t="inlineStr">
        <is>
          <t>빨강</t>
        </is>
      </c>
      <c r="D4" s="8" t="inlineStr">
        <is>
          <t>갈색</t>
        </is>
      </c>
      <c r="E4" s="8" t="inlineStr">
        <is>
          <t>4극</t>
        </is>
      </c>
    </row>
    <row r="5">
      <c r="A5" s="8" t="n">
        <v>2</v>
      </c>
      <c r="B5" s="8" t="inlineStr">
        <is>
          <t>RS485 A (T/R+)</t>
        </is>
      </c>
      <c r="C5" s="8" t="inlineStr">
        <is>
          <t>초록</t>
        </is>
      </c>
      <c r="D5" s="8" t="inlineStr">
        <is>
          <t>흰색</t>
        </is>
      </c>
      <c r="E5" s="8" t="inlineStr">
        <is>
          <t>6극</t>
        </is>
      </c>
    </row>
    <row r="6">
      <c r="A6" s="8" t="n">
        <v>3</v>
      </c>
      <c r="B6" s="8" t="inlineStr">
        <is>
          <t>0 V</t>
        </is>
      </c>
      <c r="C6" s="8" t="inlineStr">
        <is>
          <t>검정</t>
        </is>
      </c>
      <c r="D6" s="8" t="inlineStr">
        <is>
          <t>파랑</t>
        </is>
      </c>
      <c r="E6" s="8" t="inlineStr">
        <is>
          <t>5극</t>
        </is>
      </c>
    </row>
    <row r="7">
      <c r="A7" s="8" t="n">
        <v>4</v>
      </c>
      <c r="B7" s="8" t="inlineStr">
        <is>
          <t>RS485 B (T/R−)</t>
        </is>
      </c>
      <c r="C7" s="8" t="inlineStr">
        <is>
          <t>노랑</t>
        </is>
      </c>
      <c r="D7" s="8" t="inlineStr">
        <is>
          <t>검정</t>
        </is>
      </c>
      <c r="E7" s="8" t="inlineStr">
        <is>
          <t>7극</t>
        </is>
      </c>
    </row>
    <row r="9">
      <c r="A9" s="2" t="inlineStr">
        <is>
          <t>기성 M12 케이블(갈/백/청/흑)을 쓰면 색이 센서 문서와 달라집니다. 4열을 보고 결선하고 케이블에 라벨을 붙이십시오.</t>
        </is>
      </c>
    </row>
    <row r="11">
      <c r="A11" s="7" t="inlineStr">
        <is>
          <t>AC 인입 커넥터</t>
        </is>
      </c>
    </row>
    <row r="13">
      <c r="A13" s="3" t="inlineStr">
        <is>
          <t>핀</t>
        </is>
      </c>
      <c r="B13" s="3" t="inlineStr">
        <is>
          <t>신호</t>
        </is>
      </c>
      <c r="C13" s="3" t="inlineStr">
        <is>
          <t>단자대</t>
        </is>
      </c>
      <c r="D13" s="3" t="inlineStr"/>
      <c r="E13" s="3" t="inlineStr"/>
    </row>
    <row r="14">
      <c r="A14" s="8" t="inlineStr">
        <is>
          <t>—</t>
        </is>
      </c>
      <c r="B14" s="8" t="inlineStr">
        <is>
          <t>L</t>
        </is>
      </c>
      <c r="C14" s="8" t="inlineStr">
        <is>
          <t>1극</t>
        </is>
      </c>
      <c r="D14" s="8" t="inlineStr"/>
      <c r="E14" s="8" t="inlineStr"/>
    </row>
    <row r="15">
      <c r="A15" s="8" t="inlineStr">
        <is>
          <t>—</t>
        </is>
      </c>
      <c r="B15" s="8" t="inlineStr">
        <is>
          <t>N</t>
        </is>
      </c>
      <c r="C15" s="8" t="inlineStr">
        <is>
          <t>2극</t>
        </is>
      </c>
      <c r="D15" s="8" t="inlineStr"/>
      <c r="E15" s="8" t="inlineStr"/>
    </row>
    <row r="16">
      <c r="A16" s="8" t="inlineStr">
        <is>
          <t>—</t>
        </is>
      </c>
      <c r="B16" s="8" t="inlineStr">
        <is>
          <t>PE</t>
        </is>
      </c>
      <c r="C16" s="8" t="inlineStr">
        <is>
          <t>3극</t>
        </is>
      </c>
      <c r="D16" s="8" t="inlineStr"/>
      <c r="E16" s="8" t="inlineStr"/>
    </row>
    <row r="18">
      <c r="A18" s="5" t="inlineStr">
        <is>
          <t>핀 번호는 구매한 커넥터의 데이터시트를 그대로 따르십시오. AC 커넥터와 센서 커넥터는 서로 결합되지 않는 형식을 고르십시오 — AC 220V 를 센서 포트에 꽂는 사고를 라벨이 아니라 기구로 막습니다.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전선 규격</t>
        </is>
      </c>
    </row>
    <row r="3">
      <c r="A3" s="3" t="inlineStr">
        <is>
          <t>회로</t>
        </is>
      </c>
      <c r="B3" s="3" t="inlineStr">
        <is>
          <t>색</t>
        </is>
      </c>
      <c r="C3" s="3" t="inlineStr">
        <is>
          <t>굵기</t>
        </is>
      </c>
      <c r="D3" s="3" t="inlineStr">
        <is>
          <t>비고</t>
        </is>
      </c>
    </row>
    <row r="4">
      <c r="A4" s="4" t="inlineStr">
        <is>
          <t>AC L</t>
        </is>
      </c>
      <c r="B4" s="4" t="inlineStr">
        <is>
          <t>갈색</t>
        </is>
      </c>
      <c r="C4" s="4" t="inlineStr">
        <is>
          <t>0.75㎟</t>
        </is>
      </c>
      <c r="D4" s="4" t="inlineStr"/>
    </row>
    <row r="5">
      <c r="A5" s="4" t="inlineStr">
        <is>
          <t>AC N</t>
        </is>
      </c>
      <c r="B5" s="4" t="inlineStr">
        <is>
          <t>파랑</t>
        </is>
      </c>
      <c r="C5" s="4" t="inlineStr">
        <is>
          <t>0.75㎟</t>
        </is>
      </c>
      <c r="D5" s="4" t="inlineStr"/>
    </row>
    <row r="6">
      <c r="A6" s="4" t="inlineStr">
        <is>
          <t>PE</t>
        </is>
      </c>
      <c r="B6" s="4" t="inlineStr">
        <is>
          <t>녹/황</t>
        </is>
      </c>
      <c r="C6" s="4" t="inlineStr">
        <is>
          <t>1.5㎟ (주간선) / 0.75 (분기)</t>
        </is>
      </c>
      <c r="D6" s="4" t="inlineStr">
        <is>
          <t>다른 색을 쓰지 않습니다</t>
        </is>
      </c>
    </row>
    <row r="7">
      <c r="A7" s="4" t="inlineStr">
        <is>
          <t>+12V</t>
        </is>
      </c>
      <c r="B7" s="4" t="inlineStr">
        <is>
          <t>빨강</t>
        </is>
      </c>
      <c r="C7" s="4" t="inlineStr">
        <is>
          <t>0.75㎟</t>
        </is>
      </c>
      <c r="D7" s="4" t="inlineStr"/>
    </row>
    <row r="8">
      <c r="A8" s="4" t="inlineStr">
        <is>
          <t>0V</t>
        </is>
      </c>
      <c r="B8" s="4" t="inlineStr">
        <is>
          <t>검정</t>
        </is>
      </c>
      <c r="C8" s="4" t="inlineStr">
        <is>
          <t>0.75㎟</t>
        </is>
      </c>
      <c r="D8" s="4" t="inlineStr"/>
    </row>
    <row r="9">
      <c r="A9" s="4" t="inlineStr">
        <is>
          <t>RS485 A</t>
        </is>
      </c>
      <c r="B9" s="4" t="inlineStr">
        <is>
          <t>초록</t>
        </is>
      </c>
      <c r="C9" s="4" t="inlineStr">
        <is>
          <t>0.5㎟</t>
        </is>
      </c>
      <c r="D9" s="4" t="inlineStr">
        <is>
          <t>실드 트위스트 페어. A/B 를 같은 페어로</t>
        </is>
      </c>
    </row>
    <row r="10">
      <c r="A10" s="4" t="inlineStr">
        <is>
          <t>RS485 B</t>
        </is>
      </c>
      <c r="B10" s="4" t="inlineStr">
        <is>
          <t>노랑</t>
        </is>
      </c>
      <c r="C10" s="4" t="inlineStr">
        <is>
          <t>0.5㎟</t>
        </is>
      </c>
      <c r="D10" s="4" t="inlineStr">
        <is>
          <t>실드 트위스트 페어</t>
        </is>
      </c>
    </row>
    <row r="11">
      <c r="A11" s="4" t="inlineStr">
        <is>
          <t>본딩</t>
        </is>
      </c>
      <c r="B11" s="4" t="inlineStr">
        <is>
          <t>회색</t>
        </is>
      </c>
      <c r="C11" s="4" t="inlineStr">
        <is>
          <t>1.0㎟</t>
        </is>
      </c>
      <c r="D11" s="4" t="inlineStr">
        <is>
          <t>5극↔8극 점퍼 + 변환기 GND</t>
        </is>
      </c>
    </row>
    <row r="13">
      <c r="A13" s="2" t="inlineStr">
        <is>
          <t>A = 초록, B = 노랑은 Nengshi 센서 케이블 색과 같게 맞춘 것이라 센서 쪽과 함체 쪽 색이 이어집니다.</t>
        </is>
      </c>
    </row>
    <row r="15">
      <c r="A15" s="1" t="inlineStr">
        <is>
          <t>센서 케이블 전압강하 — 12V 로 낮춘 것의 영향</t>
        </is>
      </c>
    </row>
    <row r="17">
      <c r="A17" s="3" t="inlineStr">
        <is>
          <t>항목</t>
        </is>
      </c>
      <c r="B17" s="3" t="inlineStr">
        <is>
          <t>값</t>
        </is>
      </c>
      <c r="C17" s="3" t="inlineStr">
        <is>
          <t>단위</t>
        </is>
      </c>
      <c r="D17" s="3" t="inlineStr">
        <is>
          <t>근거</t>
        </is>
      </c>
    </row>
    <row r="18">
      <c r="A18" s="8" t="inlineStr">
        <is>
          <t>센서 3대 전류</t>
        </is>
      </c>
      <c r="B18" s="21" t="n">
        <v>0.09</v>
      </c>
      <c r="C18" s="8" t="inlineStr">
        <is>
          <t>A</t>
        </is>
      </c>
      <c r="D18" s="8" t="inlineStr">
        <is>
          <t>대당 약 30mA</t>
        </is>
      </c>
    </row>
    <row r="19">
      <c r="A19" s="8" t="inlineStr">
        <is>
          <t>케이블 단면적</t>
        </is>
      </c>
      <c r="B19" s="21" t="n">
        <v>0.5</v>
      </c>
      <c r="C19" s="8" t="inlineStr">
        <is>
          <t>㎟</t>
        </is>
      </c>
      <c r="D19" s="8" t="inlineStr">
        <is>
          <t>입력값 — 바꾸면 아래가 다시 계산됩니다</t>
        </is>
      </c>
    </row>
    <row r="20">
      <c r="A20" s="8" t="inlineStr">
        <is>
          <t>구리 고유저항</t>
        </is>
      </c>
      <c r="B20" s="21" t="n">
        <v>0.0178</v>
      </c>
      <c r="C20" s="8" t="inlineStr">
        <is>
          <t>Ω·㎟/m</t>
        </is>
      </c>
      <c r="D20" s="8" t="inlineStr">
        <is>
          <t>20℃ 연동 기준</t>
        </is>
      </c>
    </row>
    <row r="21">
      <c r="A21" s="8" t="inlineStr">
        <is>
          <t>편도 길이</t>
        </is>
      </c>
      <c r="B21" s="21" t="n">
        <v>50</v>
      </c>
      <c r="C21" s="8" t="inlineStr">
        <is>
          <t>m</t>
        </is>
      </c>
      <c r="D21" s="8" t="inlineStr">
        <is>
          <t>입력값 — 바꾸면 아래가 다시 계산됩니다</t>
        </is>
      </c>
    </row>
    <row r="22">
      <c r="A22" s="8" t="inlineStr">
        <is>
          <t>왕복 저항</t>
        </is>
      </c>
      <c r="B22" s="8">
        <f>B20*B21*2/B19</f>
        <v>3.56</v>
      </c>
      <c r="C22" s="8" t="inlineStr">
        <is>
          <t>Ω</t>
        </is>
      </c>
      <c r="D22" s="8" t="inlineStr">
        <is>
          <t>고유저항 × 편도 × 2 ÷ 단면적</t>
        </is>
      </c>
    </row>
    <row r="23">
      <c r="A23" s="8" t="inlineStr">
        <is>
          <t>전압강하</t>
        </is>
      </c>
      <c r="B23" s="8">
        <f>B18*B22</f>
        <v>0.3204</v>
      </c>
      <c r="C23" s="8" t="inlineStr">
        <is>
          <t>V</t>
        </is>
      </c>
      <c r="D23" s="8" t="inlineStr">
        <is>
          <t>전류 × 왕복 저항</t>
        </is>
      </c>
    </row>
    <row r="24">
      <c r="A24" s="8" t="inlineStr">
        <is>
          <t>센서 입력 전압</t>
        </is>
      </c>
      <c r="B24" s="8">
        <f>12-B23</f>
        <v>11.6796</v>
      </c>
      <c r="C24" s="8" t="inlineStr">
        <is>
          <t>V</t>
        </is>
      </c>
      <c r="D24" s="8" t="inlineStr">
        <is>
          <t>12V − 강하</t>
        </is>
      </c>
    </row>
    <row r="25">
      <c r="A25" s="17" t="inlineStr">
        <is>
          <t>하한 9V 대비 여유</t>
        </is>
      </c>
      <c r="B25" s="17">
        <f>B24-9</f>
        <v>2.6796</v>
      </c>
      <c r="C25" s="8" t="inlineStr">
        <is>
          <t>V</t>
        </is>
      </c>
      <c r="D25" s="8" t="inlineStr">
        <is>
          <t>0 보다 크면 정상</t>
        </is>
      </c>
    </row>
    <row r="27">
      <c r="A27" s="5" t="inlineStr">
        <is>
          <t>편도 길이나 단면적을 바꿔 보십시오. 여유가 0 에 가까워지면 0.75㎟ 이상으로 올리거나 24V SMPS 로 바꿔야 합니다.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4" customWidth="1" min="3" max="3"/>
    <col width="12" customWidth="1" min="4" max="4"/>
    <col width="26" customWidth="1" min="5" max="5"/>
  </cols>
  <sheetData>
    <row r="1">
      <c r="A1" s="1" t="inlineStr">
        <is>
          <t>출하 검사 (EOL)</t>
        </is>
      </c>
    </row>
    <row r="2">
      <c r="A2" s="2" t="inlineStr">
        <is>
          <t>판정란은 조립자가 채웁니다. 2·3번이 이 표의 핵심입니다.</t>
        </is>
      </c>
    </row>
    <row r="4">
      <c r="A4" s="3" t="inlineStr">
        <is>
          <t>#</t>
        </is>
      </c>
      <c r="B4" s="3" t="inlineStr">
        <is>
          <t>항목</t>
        </is>
      </c>
      <c r="C4" s="3" t="inlineStr">
        <is>
          <t>판정 기준</t>
        </is>
      </c>
      <c r="D4" s="3" t="inlineStr">
        <is>
          <t>결과</t>
        </is>
      </c>
      <c r="E4" s="3" t="inlineStr">
        <is>
          <t>비고</t>
        </is>
      </c>
    </row>
    <row r="5">
      <c r="A5" s="4" t="n">
        <v>1</v>
      </c>
      <c r="B5" s="4" t="inlineStr">
        <is>
          <t>접지 연속성 — AC 인입 PE ↔ 백플레이트</t>
        </is>
      </c>
      <c r="C5" s="4" t="inlineStr">
        <is>
          <t>&lt; 0.1 Ω</t>
        </is>
      </c>
      <c r="D5" s="22" t="inlineStr"/>
      <c r="E5" s="4" t="inlineStr"/>
    </row>
    <row r="6">
      <c r="A6" s="10" t="n">
        <v>2</v>
      </c>
      <c r="B6" s="10" t="inlineStr">
        <is>
          <t>단자대 5극(0V) ↔ 8극 도통</t>
        </is>
      </c>
      <c r="C6" s="10" t="inlineStr">
        <is>
          <t>도통</t>
        </is>
      </c>
      <c r="D6" s="22" t="inlineStr"/>
      <c r="E6" s="10" t="inlineStr">
        <is>
          <t>★ 빠지면 현장에서 간헐적 CRC 오류</t>
        </is>
      </c>
    </row>
    <row r="7">
      <c r="A7" s="10" t="n">
        <v>3</v>
      </c>
      <c r="B7" s="10" t="inlineStr">
        <is>
          <t>단자대 8극 ↔ 변환기 GND 도통</t>
        </is>
      </c>
      <c r="C7" s="10" t="inlineStr">
        <is>
          <t>도통</t>
        </is>
      </c>
      <c r="D7" s="22" t="inlineStr"/>
      <c r="E7" s="10" t="inlineStr">
        <is>
          <t>★ 위와 한 쌍</t>
        </is>
      </c>
    </row>
    <row r="8">
      <c r="A8" s="4" t="n">
        <v>4</v>
      </c>
      <c r="B8" s="4" t="inlineStr">
        <is>
          <t>절연저항 L+N ↔ PE (500VDC)</t>
        </is>
      </c>
      <c r="C8" s="4" t="inlineStr">
        <is>
          <t>≥ 10 MΩ</t>
        </is>
      </c>
      <c r="D8" s="22" t="inlineStr"/>
      <c r="E8" s="4" t="inlineStr"/>
    </row>
    <row r="9">
      <c r="A9" s="4" t="n">
        <v>5</v>
      </c>
      <c r="B9" s="4" t="inlineStr">
        <is>
          <t>12V 출력 — 단자대 4극 ↔ 5극</t>
        </is>
      </c>
      <c r="C9" s="4" t="inlineStr">
        <is>
          <t>11.5 ~ 12.5 V</t>
        </is>
      </c>
      <c r="D9" s="22" t="inlineStr"/>
      <c r="E9" s="4" t="inlineStr"/>
    </row>
    <row r="10">
      <c r="A10" s="4" t="n">
        <v>6</v>
      </c>
      <c r="B10" s="4" t="inlineStr">
        <is>
          <t>콘센트 전압</t>
        </is>
      </c>
      <c r="C10" s="4" t="inlineStr">
        <is>
          <t>220 V ± 10%</t>
        </is>
      </c>
      <c r="D10" s="22" t="inlineStr"/>
      <c r="E10" s="4" t="inlineStr"/>
    </row>
    <row r="11">
      <c r="A11" s="4" t="n">
        <v>7</v>
      </c>
      <c r="B11" s="4" t="inlineStr">
        <is>
          <t>센서 포트 3개 각각 핀 1–3 전압</t>
        </is>
      </c>
      <c r="C11" s="4" t="inlineStr">
        <is>
          <t>12 V ± 0.5</t>
        </is>
      </c>
      <c r="D11" s="22" t="inlineStr"/>
      <c r="E11" s="4" t="inlineStr"/>
    </row>
    <row r="12">
      <c r="A12" s="4" t="n">
        <v>8</v>
      </c>
      <c r="B12" s="4" t="inlineStr">
        <is>
          <t>센서 포트 3개 각각 핀 2–4 저항 (센서 미연결)</t>
        </is>
      </c>
      <c r="C12" s="4" t="inlineStr">
        <is>
          <t>3포트 동일값</t>
        </is>
      </c>
      <c r="D12" s="22" t="inlineStr"/>
      <c r="E12" s="4" t="inlineStr">
        <is>
          <t>병렬 결선 확인</t>
        </is>
      </c>
    </row>
    <row r="13">
      <c r="A13" s="4" t="n">
        <v>9</v>
      </c>
      <c r="B13" s="4" t="inlineStr">
        <is>
          <t>소비전력</t>
        </is>
      </c>
      <c r="C13" s="4" t="inlineStr">
        <is>
          <t>약 16 W ± 20%</t>
        </is>
      </c>
      <c r="D13" s="22" t="inlineStr"/>
      <c r="E13" s="4" t="inlineStr"/>
    </row>
    <row r="14">
      <c r="A14" s="4" t="n">
        <v>10</v>
      </c>
      <c r="B14" s="4" t="inlineStr">
        <is>
          <t>부팅 후 화면 표시</t>
        </is>
      </c>
      <c r="C14" s="4" t="inlineStr">
        <is>
          <t>계기판 정상 표시</t>
        </is>
      </c>
      <c r="D14" s="22" t="inlineStr"/>
      <c r="E14" s="4" t="inlineStr"/>
    </row>
    <row r="15">
      <c r="A15" s="4" t="n">
        <v>11</v>
      </c>
      <c r="B15" s="4" t="inlineStr">
        <is>
          <t>터치 동작</t>
        </is>
      </c>
      <c r="C15" s="4" t="inlineStr">
        <is>
          <t>네 모서리 + 중앙 5점</t>
        </is>
      </c>
      <c r="D15" s="22" t="inlineStr"/>
      <c r="E15" s="4" t="inlineStr"/>
    </row>
    <row r="16">
      <c r="A16" s="4" t="n">
        <v>12</v>
      </c>
      <c r="B16" s="4" t="inlineStr">
        <is>
          <t>센서 통신 — --scan</t>
        </is>
      </c>
      <c r="C16" s="4" t="inlineStr">
        <is>
          <t>연결한 ID 가 모두 응답</t>
        </is>
      </c>
      <c r="D16" s="22" t="inlineStr"/>
      <c r="E16" s="4" t="inlineStr"/>
    </row>
    <row r="17">
      <c r="A17" s="4" t="n">
        <v>13</v>
      </c>
      <c r="B17" s="4" t="inlineStr">
        <is>
          <t>값 읽기 — --once --dry-run -v</t>
        </is>
      </c>
      <c r="C17" s="4" t="inlineStr">
        <is>
          <t>4개 값 출력</t>
        </is>
      </c>
      <c r="D17" s="22" t="inlineStr"/>
      <c r="E17" s="4" t="inlineStr"/>
    </row>
    <row r="18">
      <c r="A18" s="4" t="n">
        <v>14</v>
      </c>
      <c r="B18" s="4" t="inlineStr">
        <is>
          <t>기기 연결 코드</t>
        </is>
      </c>
      <c r="C18" s="4" t="inlineStr">
        <is>
          <t>6자리 코드 표시</t>
        </is>
      </c>
      <c r="D18" s="22" t="inlineStr"/>
      <c r="E18" s="4" t="inlineStr"/>
    </row>
    <row r="19">
      <c r="A19" s="4" t="n">
        <v>15</v>
      </c>
      <c r="B19" s="4" t="inlineStr">
        <is>
          <t>RTC — 전원 차단 5분 후 재인가</t>
        </is>
      </c>
      <c r="C19" s="4" t="inlineStr">
        <is>
          <t>시각 유지</t>
        </is>
      </c>
      <c r="D19" s="22" t="inlineStr"/>
      <c r="E19" s="4" t="inlineStr"/>
    </row>
    <row r="20">
      <c r="A20" s="4" t="n">
        <v>16</v>
      </c>
      <c r="B20" s="4" t="inlineStr">
        <is>
          <t>열 시험 — 40℃ 60분</t>
        </is>
      </c>
      <c r="C20" s="4" t="inlineStr">
        <is>
          <t>CPU &lt; 75℃, 스로틀 로그 없음</t>
        </is>
      </c>
      <c r="D20" s="22" t="inlineStr"/>
      <c r="E20" s="4" t="inlineStr"/>
    </row>
    <row r="21">
      <c r="A21" s="4" t="n">
        <v>17</v>
      </c>
      <c r="B21" s="4" t="inlineStr">
        <is>
          <t>방수 — 개스킷·커넥터 육안 + 토크</t>
        </is>
      </c>
      <c r="C21" s="4" t="inlineStr">
        <is>
          <t>이상 없음</t>
        </is>
      </c>
      <c r="D21" s="22" t="inlineStr"/>
      <c r="E21" s="4" t="inlineStr"/>
    </row>
    <row r="22">
      <c r="A22" s="4" t="n">
        <v>18</v>
      </c>
      <c r="B22" s="4" t="inlineStr">
        <is>
          <t>도어 여닫음 20회 후 재검사</t>
        </is>
      </c>
      <c r="C22" s="4" t="inlineStr">
        <is>
          <t>RS485 배선 이상 없음</t>
        </is>
      </c>
      <c r="D22" s="22" t="inlineStr"/>
      <c r="E22" s="4" t="inlineStr">
        <is>
          <t>도어 가동부 통과선</t>
        </is>
      </c>
    </row>
    <row r="23">
      <c r="A23" s="4" t="n">
        <v>19</v>
      </c>
      <c r="B23" s="4" t="inlineStr">
        <is>
          <t>외관 — 봉인 라벨 2개소, 라벨 일체</t>
        </is>
      </c>
      <c r="C23" s="4" t="inlineStr">
        <is>
          <t>이상 없음</t>
        </is>
      </c>
      <c r="D23" s="22" t="inlineStr"/>
      <c r="E23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40" customWidth="1" min="4" max="4"/>
  </cols>
  <sheetData>
    <row r="1">
      <c r="A1" s="1" t="inlineStr">
        <is>
          <t>발주 전 확인이 필요한 항목</t>
        </is>
      </c>
    </row>
    <row r="2">
      <c r="A2" s="2" t="inlineStr">
        <is>
          <t>이 네 가지가 풀려야 도면 치수가 확정됩니다. 지금 도면의 관련 치수는 추정치입니다.</t>
        </is>
      </c>
    </row>
    <row r="4">
      <c r="A4" s="3" t="inlineStr">
        <is>
          <t>#</t>
        </is>
      </c>
      <c r="B4" s="3" t="inlineStr">
        <is>
          <t>항목</t>
        </is>
      </c>
      <c r="C4" s="3" t="inlineStr">
        <is>
          <t>필요한 것</t>
        </is>
      </c>
      <c r="D4" s="3" t="inlineStr">
        <is>
          <t>확정되면 바뀌는 것</t>
        </is>
      </c>
    </row>
    <row r="5">
      <c r="A5" s="9" t="n">
        <v>1</v>
      </c>
      <c r="B5" s="9" t="inlineStr">
        <is>
          <t>SMPS 12V 60W</t>
        </is>
      </c>
      <c r="C5" s="9" t="inlineStr">
        <is>
          <t>외형 W×H×D, 나사 4점 피치, 단자 위치</t>
        </is>
      </c>
      <c r="D5" s="9" t="inlineStr">
        <is>
          <t>SH-03 백플레이트 구멍, 3D 모델</t>
        </is>
      </c>
    </row>
    <row r="6">
      <c r="A6" s="9" t="n">
        <v>2</v>
      </c>
      <c r="B6" s="9" t="inlineStr">
        <is>
          <t>콘센트 1구 원형</t>
        </is>
      </c>
      <c r="C6" s="9" t="inlineStr">
        <is>
          <t>외경·두께, 고정 방식(매입/노출/나사 2점)</t>
        </is>
      </c>
      <c r="D6" s="9" t="inlineStr">
        <is>
          <t>SH-03 백플레이트 구멍, 3D 모델</t>
        </is>
      </c>
    </row>
    <row r="7">
      <c r="A7" s="9" t="n">
        <v>3</v>
      </c>
      <c r="B7" s="9" t="inlineStr">
        <is>
          <t>단자대 8P</t>
        </is>
      </c>
      <c r="C7" s="9" t="inlineStr">
        <is>
          <t>외형 길이×폭, 고정 나사 피치, 극 사이 절연 격벽 유무</t>
        </is>
      </c>
      <c r="D7" s="9" t="inlineStr">
        <is>
          <t>SH-03 백플레이트 구멍, 절연 커버</t>
        </is>
      </c>
    </row>
    <row r="8">
      <c r="A8" s="9" t="n">
        <v>4</v>
      </c>
      <c r="B8" s="9" t="inlineStr">
        <is>
          <t>하이박스 300×300×165</t>
        </is>
      </c>
      <c r="C8" s="9" t="inlineStr">
        <is>
          <t>내부 유효치수, 커버 체결 방식, 백플레이트 재질</t>
        </is>
      </c>
      <c r="D8" s="9" t="inlineStr">
        <is>
          <t>SH-01·02·03·07 전부, 3D 모델</t>
        </is>
      </c>
    </row>
    <row r="9">
      <c r="A9" s="9" t="n">
        <v>5</v>
      </c>
      <c r="B9" s="9" t="inlineStr">
        <is>
          <t>AC 인입 커넥터</t>
        </is>
      </c>
      <c r="C9" s="9" t="inlineStr">
        <is>
          <t>패널 컷아웃 지름, 핀 배치</t>
        </is>
      </c>
      <c r="D9" s="9" t="inlineStr">
        <is>
          <t>SH-02 하부면 타공 Ø16.5</t>
        </is>
      </c>
    </row>
    <row r="10">
      <c r="A10" s="9" t="n">
        <v>6</v>
      </c>
      <c r="B10" s="9" t="inlineStr">
        <is>
          <t>센서 M12 커넥터</t>
        </is>
      </c>
      <c r="C10" s="9" t="inlineStr">
        <is>
          <t>패널 컷아웃 지름</t>
        </is>
      </c>
      <c r="D10" s="9" t="inlineStr">
        <is>
          <t>SH-02 하부면 타공 Ø16.5</t>
        </is>
      </c>
    </row>
    <row r="11">
      <c r="A11" s="9" t="n">
        <v>7</v>
      </c>
      <c r="B11" s="9" t="inlineStr">
        <is>
          <t>디스플레이 유리 뒷면</t>
        </is>
      </c>
      <c r="C11" s="9" t="inlineStr">
        <is>
          <t>가장자리 평탄면이 편측 8.5mm 나오는가</t>
        </is>
      </c>
      <c r="D11" s="9" t="inlineStr">
        <is>
          <t>SH-01 개구부, SH-04 압착 프레임</t>
        </is>
      </c>
    </row>
    <row r="12">
      <c r="A12" s="9" t="n">
        <v>8</v>
      </c>
      <c r="B12" s="9" t="inlineStr">
        <is>
          <t>스탠드오프 길이</t>
        </is>
      </c>
      <c r="C12" s="9" t="inlineStr">
        <is>
          <t>시제품 조립 후 개스킷 압축 스택 실측</t>
        </is>
      </c>
      <c r="D12" s="9" t="inlineStr">
        <is>
          <t>SH-06 단면, 발주 사양</t>
        </is>
      </c>
    </row>
    <row r="14">
      <c r="A14" s="5" t="inlineStr">
        <is>
          <t>4번의 커버 체결 방식이 특히 중요합니다. 매미고리(래치)형이면 소비자가 맨손으로 열 수 있어 접근 차단 설계가 무너집니다. 나사 체결형이어야 탬퍼 볼트로 바꿀 수 있습니다.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26" customWidth="1" min="4" max="4"/>
    <col width="12" customWidth="1" min="5" max="5"/>
    <col width="54" customWidth="1" min="6" max="6"/>
  </cols>
  <sheetData>
    <row r="1">
      <c r="A1" s="1" t="inlineStr">
        <is>
          <t>주문 목록 대조</t>
        </is>
      </c>
    </row>
    <row r="2">
      <c r="A2" s="2" t="inlineStr">
        <is>
          <t>2026-08-11 주문분과 BOM 을 맞춰 본 것입니다.</t>
        </is>
      </c>
    </row>
    <row r="4">
      <c r="A4" s="3" t="inlineStr">
        <is>
          <t>#</t>
        </is>
      </c>
      <c r="B4" s="3" t="inlineStr">
        <is>
          <t>주문 품목</t>
        </is>
      </c>
      <c r="C4" s="3" t="inlineStr">
        <is>
          <t>금액</t>
        </is>
      </c>
      <c r="D4" s="3" t="inlineStr">
        <is>
          <t>BOM 대응</t>
        </is>
      </c>
      <c r="E4" s="3" t="inlineStr">
        <is>
          <t>판정</t>
        </is>
      </c>
      <c r="F4" s="3" t="inlineStr">
        <is>
          <t>확인할 것 / 비고</t>
        </is>
      </c>
    </row>
    <row r="5">
      <c r="A5" s="9" t="n">
        <v>1</v>
      </c>
      <c r="B5" s="9" t="inlineStr">
        <is>
          <t>직결나사 접시머리 직결피스 10종 500g</t>
        </is>
      </c>
      <c r="C5" s="9" t="inlineStr">
        <is>
          <t>10,900</t>
        </is>
      </c>
      <c r="D5" s="9" t="inlineStr">
        <is>
          <t>(고정용 나사)</t>
        </is>
      </c>
      <c r="E5" s="9" t="inlineStr">
        <is>
          <t>확인</t>
        </is>
      </c>
      <c r="F5" s="9" t="inlineStr">
        <is>
          <t>알루미늄 백플레이트 2t 에는 직결나사가 잘 안 물립니다. 하이박스 기본 내부판이 플라스틱이면 사용 가능. 금속판이면 M4 볼트+너트나 탭 가공 권장</t>
        </is>
      </c>
    </row>
    <row r="6">
      <c r="A6" s="4" t="n">
        <v>2</v>
      </c>
      <c r="B6" s="4" t="inlineStr">
        <is>
          <t>고정식 단자대 30A 8P 터미널블럭 × 5</t>
        </is>
      </c>
      <c r="C6" s="4" t="inlineStr">
        <is>
          <t>2,990</t>
        </is>
      </c>
      <c r="D6" s="4" t="inlineStr">
        <is>
          <t>33. 단자대 8P</t>
        </is>
      </c>
      <c r="E6" s="4" t="inlineStr">
        <is>
          <t>적합</t>
        </is>
      </c>
      <c r="F6" s="4" t="inlineStr">
        <is>
          <t>정격 30A 로 충분. 극 사이 절연 격벽이 있는지 확인 — 220V 와 저압이 한 단자대에 섞입니다</t>
        </is>
      </c>
    </row>
    <row r="7">
      <c r="A7" s="4" t="n">
        <v>3</v>
      </c>
      <c r="B7" s="4" t="inlineStr">
        <is>
          <t>수축 튜브 세트 530p</t>
        </is>
      </c>
      <c r="C7" s="4" t="inlineStr">
        <is>
          <t>3,590</t>
        </is>
      </c>
      <c r="D7" s="4" t="inlineStr">
        <is>
          <t>(부속)</t>
        </is>
      </c>
      <c r="E7" s="4" t="inlineStr">
        <is>
          <t>적합</t>
        </is>
      </c>
      <c r="F7" s="4" t="inlineStr">
        <is>
          <t>압착부 절연·표시용</t>
        </is>
      </c>
    </row>
    <row r="8">
      <c r="A8" s="4" t="n">
        <v>4</v>
      </c>
      <c r="B8" s="4" t="inlineStr">
        <is>
          <t>원스탑 만능 터미널압착기</t>
        </is>
      </c>
      <c r="C8" s="4" t="inlineStr">
        <is>
          <t>7,000</t>
        </is>
      </c>
      <c r="D8" s="4" t="inlineStr">
        <is>
          <t>(공구)</t>
        </is>
      </c>
      <c r="E8" s="4" t="inlineStr">
        <is>
          <t>적합</t>
        </is>
      </c>
      <c r="F8" s="4" t="inlineStr">
        <is>
          <t>절연 압착단자용 다이가 있는지 확인. 극당 3가닥을 압착단자로 정리해야 합니다</t>
        </is>
      </c>
    </row>
    <row r="9">
      <c r="A9" s="9" t="n">
        <v>5</v>
      </c>
      <c r="B9" s="9" t="inlineStr">
        <is>
          <t>어반카 와이오 압착 단자 터미널 320p 세트</t>
        </is>
      </c>
      <c r="C9" s="9" t="inlineStr">
        <is>
          <t>6,900</t>
        </is>
      </c>
      <c r="D9" s="9" t="inlineStr">
        <is>
          <t>(부속)</t>
        </is>
      </c>
      <c r="E9" s="9" t="inlineStr">
        <is>
          <t>확인</t>
        </is>
      </c>
      <c r="F9" s="9" t="inlineStr">
        <is>
          <t>단자대 나사 규격(M3.5 또는 M4)에 맞는 링/Y 단자가 세트에 있는지 확인</t>
        </is>
      </c>
    </row>
    <row r="10">
      <c r="A10" s="4" t="n">
        <v>6</v>
      </c>
      <c r="B10" s="4" t="inlineStr">
        <is>
          <t>몬스툴 전기 인두기 + 받침대 + 땜납</t>
        </is>
      </c>
      <c r="C10" s="4" t="inlineStr">
        <is>
          <t>9,710</t>
        </is>
      </c>
      <c r="D10" s="4" t="inlineStr">
        <is>
          <t>(공구)</t>
        </is>
      </c>
      <c r="E10" s="4" t="inlineStr">
        <is>
          <t>적합</t>
        </is>
      </c>
      <c r="F10" s="4" t="inlineStr">
        <is>
          <t>TVS 소자와 변환기 단자에 필요. 대부분은 나사 단자라 사용처는 적습니다</t>
        </is>
      </c>
    </row>
    <row r="11">
      <c r="A11" s="10" t="n">
        <v>7</v>
      </c>
      <c r="B11" s="10" t="inlineStr">
        <is>
          <t>5색 DIY 전선 30/26/22/20/18/16AWG UL1007 (옵션 30AWG/50M)</t>
        </is>
      </c>
      <c r="C11" s="10" t="inlineStr">
        <is>
          <t>14,900</t>
        </is>
      </c>
      <c r="D11" s="10" t="inlineStr">
        <is>
          <t>38. 배선재</t>
        </is>
      </c>
      <c r="E11" s="10" t="inlineStr">
        <is>
          <t>★ 확인 필요</t>
        </is>
      </c>
      <c r="F11" s="10" t="inlineStr">
        <is>
          <t>선택 옵션이 30AWG(0.05㎟) 라면 이 장비에 쓸 수 있는 굵기가 하나도 없습니다. 아래 표 참조</t>
        </is>
      </c>
    </row>
    <row r="13">
      <c r="B13" s="7" t="inlineStr">
        <is>
          <t>주문 합계</t>
        </is>
      </c>
      <c r="C13" s="7" t="n">
        <v>55990</v>
      </c>
      <c r="D13" s="11" t="inlineStr">
        <is>
          <t>원</t>
        </is>
      </c>
    </row>
    <row r="15">
      <c r="A15" s="1" t="inlineStr">
        <is>
          <t>AWG ↔ ㎟ 대조 — 이 장비에 필요한 굵기</t>
        </is>
      </c>
    </row>
    <row r="17">
      <c r="A17" s="3" t="inlineStr">
        <is>
          <t>AWG</t>
        </is>
      </c>
      <c r="B17" s="3" t="inlineStr">
        <is>
          <t>단면적 ㎟</t>
        </is>
      </c>
      <c r="C17" s="3" t="inlineStr">
        <is>
          <t>쓰는 곳</t>
        </is>
      </c>
      <c r="D17" s="3" t="inlineStr">
        <is>
          <t>필요 여부</t>
        </is>
      </c>
      <c r="E17" s="3" t="inlineStr"/>
      <c r="F17" s="3" t="inlineStr"/>
    </row>
    <row r="18">
      <c r="A18" s="19" t="inlineStr">
        <is>
          <t>16</t>
        </is>
      </c>
      <c r="B18" s="19" t="inlineStr">
        <is>
          <t>1.31</t>
        </is>
      </c>
      <c r="C18" s="19" t="inlineStr">
        <is>
          <t>PE 주간선 (사양 1.5㎟ 에 근접)</t>
        </is>
      </c>
      <c r="D18" s="19" t="inlineStr">
        <is>
          <t>필요</t>
        </is>
      </c>
      <c r="E18" s="19" t="inlineStr"/>
      <c r="F18" s="19" t="inlineStr"/>
    </row>
    <row r="19">
      <c r="A19" s="19" t="inlineStr">
        <is>
          <t>18</t>
        </is>
      </c>
      <c r="B19" s="19" t="inlineStr">
        <is>
          <t>0.82</t>
        </is>
      </c>
      <c r="C19" s="19" t="inlineStr">
        <is>
          <t>AC L·N / +12V / 0V / 본딩</t>
        </is>
      </c>
      <c r="D19" s="19" t="inlineStr">
        <is>
          <t>필요</t>
        </is>
      </c>
      <c r="E19" s="19" t="inlineStr"/>
      <c r="F19" s="19" t="inlineStr"/>
    </row>
    <row r="20">
      <c r="A20" s="19" t="inlineStr">
        <is>
          <t>20</t>
        </is>
      </c>
      <c r="B20" s="19" t="inlineStr">
        <is>
          <t>0.52</t>
        </is>
      </c>
      <c r="C20" s="19" t="inlineStr">
        <is>
          <t>RS485 A·B</t>
        </is>
      </c>
      <c r="D20" s="19" t="inlineStr">
        <is>
          <t>필요</t>
        </is>
      </c>
      <c r="E20" s="19" t="inlineStr"/>
      <c r="F20" s="19" t="inlineStr"/>
    </row>
    <row r="21">
      <c r="A21" s="8" t="inlineStr">
        <is>
          <t>22</t>
        </is>
      </c>
      <c r="B21" s="8" t="inlineStr">
        <is>
          <t>0.33</t>
        </is>
      </c>
      <c r="C21" s="8" t="inlineStr">
        <is>
          <t>—</t>
        </is>
      </c>
      <c r="D21" s="8" t="inlineStr">
        <is>
          <t>불필요</t>
        </is>
      </c>
      <c r="E21" s="8" t="inlineStr"/>
      <c r="F21" s="8" t="inlineStr"/>
    </row>
    <row r="22">
      <c r="A22" s="8" t="inlineStr">
        <is>
          <t>26</t>
        </is>
      </c>
      <c r="B22" s="8" t="inlineStr">
        <is>
          <t>0.13</t>
        </is>
      </c>
      <c r="C22" s="8" t="inlineStr">
        <is>
          <t>—</t>
        </is>
      </c>
      <c r="D22" s="8" t="inlineStr">
        <is>
          <t>불필요</t>
        </is>
      </c>
      <c r="E22" s="8" t="inlineStr"/>
      <c r="F22" s="8" t="inlineStr"/>
    </row>
    <row r="23">
      <c r="A23" s="23" t="inlineStr">
        <is>
          <t>30</t>
        </is>
      </c>
      <c r="B23" s="23" t="inlineStr">
        <is>
          <t>0.05</t>
        </is>
      </c>
      <c r="C23" s="23" t="inlineStr">
        <is>
          <t>—</t>
        </is>
      </c>
      <c r="D23" s="23" t="inlineStr">
        <is>
          <t>쓸 수 없음</t>
        </is>
      </c>
      <c r="E23" s="23" t="inlineStr"/>
      <c r="F23" s="23" t="inlineStr">
        <is>
          <t>전류·강도 모두 부족</t>
        </is>
      </c>
    </row>
    <row r="25">
      <c r="A25" s="5" t="inlineStr">
        <is>
          <t>★ 필요한 것은 AWG 16 · 18 · 20 세 가지입니다. 주문 옵션이 30AWG 단품이면 16/18/20AWG 를 다시 주문하셔야 합니다.</t>
        </is>
      </c>
    </row>
    <row r="27">
      <c r="A27" s="11" t="inlineStr">
        <is>
          <t>UL1007 은 PVC 300V 정격, 실리콘 와이어는 보통 UL3132/3239 로 내열 200℃ 입니다. 상품명에 둘이 섞여 있으니 실제 어느 쪽인지 확인하십시오. AC 220V 배선에는 300V 이상 정격이 필요하고, SMPS 근처라면 실리콘 쪽이 내열에 유리합니다.</t>
        </is>
      </c>
    </row>
    <row r="29">
      <c r="A29" s="11" t="inlineStr">
        <is>
          <t>RS485 는 함체 안 짧은 구간(변환기→TVS→단자대)이라 낱개 선으로도 되지만 A/B 를 꼬아 주십시오. 센서로 나가는 케이블은 반드시 실드 트위스트 페어여야 하며, 그것은 센서 케이블로 따로 준비합니다.</t>
        </is>
      </c>
    </row>
    <row r="32">
      <c r="A32" s="1" t="inlineStr">
        <is>
          <t>아직 주문되지 않은 품목</t>
        </is>
      </c>
    </row>
    <row r="34">
      <c r="A34" s="3" t="inlineStr">
        <is>
          <t>구분</t>
        </is>
      </c>
      <c r="B34" s="3" t="inlineStr">
        <is>
          <t>품목</t>
        </is>
      </c>
      <c r="C34" s="3" t="inlineStr">
        <is>
          <t>수량</t>
        </is>
      </c>
      <c r="D34" s="3" t="inlineStr">
        <is>
          <t>비고</t>
        </is>
      </c>
      <c r="E34" s="3" t="inlineStr"/>
      <c r="F34" s="3" t="inlineStr"/>
    </row>
    <row r="35">
      <c r="A35" s="9" t="inlineStr">
        <is>
          <t>전원</t>
        </is>
      </c>
      <c r="B35" s="9" t="inlineStr">
        <is>
          <t>SMPS 12V 60W (5A)</t>
        </is>
      </c>
      <c r="C35" s="9" t="inlineStr">
        <is>
          <t>1</t>
        </is>
      </c>
      <c r="D35" s="9" t="inlineStr">
        <is>
          <t>지정 제품 — 외형·나사 피치 확인</t>
        </is>
      </c>
      <c r="E35" s="9" t="inlineStr"/>
      <c r="F35" s="9" t="inlineStr"/>
    </row>
    <row r="36">
      <c r="A36" s="9" t="inlineStr">
        <is>
          <t>전원</t>
        </is>
      </c>
      <c r="B36" s="9" t="inlineStr">
        <is>
          <t>콘센트 1구 원형 220V</t>
        </is>
      </c>
      <c r="C36" s="9" t="inlineStr">
        <is>
          <t>1</t>
        </is>
      </c>
      <c r="D36" s="9" t="inlineStr">
        <is>
          <t>지정 제품</t>
        </is>
      </c>
      <c r="E36" s="9" t="inlineStr"/>
      <c r="F36" s="9" t="inlineStr"/>
    </row>
    <row r="37">
      <c r="A37" s="9" t="inlineStr">
        <is>
          <t>전원</t>
        </is>
      </c>
      <c r="B37" s="9" t="inlineStr">
        <is>
          <t>파이 전원 어댑터 5.1V 3A</t>
        </is>
      </c>
      <c r="C37" s="9" t="inlineStr">
        <is>
          <t>1</t>
        </is>
      </c>
      <c r="D37" s="9" t="inlineStr">
        <is>
          <t>공식 어댑터</t>
        </is>
      </c>
      <c r="E37" s="9" t="inlineStr"/>
      <c r="F37" s="9" t="inlineStr"/>
    </row>
    <row r="38">
      <c r="A38" s="9" t="inlineStr">
        <is>
          <t>함체</t>
        </is>
      </c>
      <c r="B38" s="9" t="inlineStr">
        <is>
          <t>하이박스 300×300×165</t>
        </is>
      </c>
      <c r="C38" s="9" t="inlineStr">
        <is>
          <t>1</t>
        </is>
      </c>
      <c r="D38" s="9" t="inlineStr">
        <is>
          <t>커버 체결 방식 확인 필수</t>
        </is>
      </c>
      <c r="E38" s="9" t="inlineStr"/>
      <c r="F38" s="9" t="inlineStr"/>
    </row>
    <row r="39">
      <c r="A39" s="9" t="inlineStr">
        <is>
          <t>함체</t>
        </is>
      </c>
      <c r="B39" s="9" t="inlineStr">
        <is>
          <t>알루미늄 백플레이트</t>
        </is>
      </c>
      <c r="C39" s="9" t="inlineStr">
        <is>
          <t>1</t>
        </is>
      </c>
      <c r="D39" s="9" t="inlineStr">
        <is>
          <t>금속. 방열 경로</t>
        </is>
      </c>
      <c r="E39" s="9" t="inlineStr"/>
      <c r="F39" s="9" t="inlineStr"/>
    </row>
    <row r="40">
      <c r="A40" s="9" t="inlineStr">
        <is>
          <t>제어</t>
        </is>
      </c>
      <c r="B40" s="9" t="inlineStr">
        <is>
          <t>라즈베리파이 4 + 7" 디스플레이</t>
        </is>
      </c>
      <c r="C40" s="9" t="inlineStr">
        <is>
          <t>각 1</t>
        </is>
      </c>
      <c r="D40" s="9" t="inlineStr"/>
      <c r="E40" s="9" t="inlineStr"/>
      <c r="F40" s="9" t="inlineStr"/>
    </row>
    <row r="41">
      <c r="A41" s="9" t="inlineStr">
        <is>
          <t>제어</t>
        </is>
      </c>
      <c r="B41" s="9" t="inlineStr">
        <is>
          <t>USB-RS485 변환기 / SSD / RTC</t>
        </is>
      </c>
      <c r="C41" s="9" t="inlineStr">
        <is>
          <t>각 1</t>
        </is>
      </c>
      <c r="D41" s="9" t="inlineStr"/>
      <c r="E41" s="9" t="inlineStr"/>
      <c r="F41" s="9" t="inlineStr"/>
    </row>
    <row r="42">
      <c r="A42" s="9" t="inlineStr">
        <is>
          <t>커넥터</t>
        </is>
      </c>
      <c r="B42" s="9" t="inlineStr">
        <is>
          <t>AC 인입 커넥터 + 케이블 플러그</t>
        </is>
      </c>
      <c r="C42" s="9" t="inlineStr">
        <is>
          <t>각 1</t>
        </is>
      </c>
      <c r="D42" s="9" t="inlineStr">
        <is>
          <t>센서용과 결합 불가한 형식</t>
        </is>
      </c>
      <c r="E42" s="9" t="inlineStr"/>
      <c r="F42" s="9" t="inlineStr"/>
    </row>
    <row r="43">
      <c r="A43" s="9" t="inlineStr">
        <is>
          <t>커넥터</t>
        </is>
      </c>
      <c r="B43" s="9" t="inlineStr">
        <is>
          <t>M12 A-coded 센서 커넥터</t>
        </is>
      </c>
      <c r="C43" s="9" t="inlineStr">
        <is>
          <t>4</t>
        </is>
      </c>
      <c r="D43" s="9" t="inlineStr">
        <is>
          <t>3 + 예비 1</t>
        </is>
      </c>
      <c r="E43" s="9" t="inlineStr"/>
      <c r="F43" s="9" t="inlineStr"/>
    </row>
    <row r="44">
      <c r="A44" s="9" t="inlineStr">
        <is>
          <t>커넥터</t>
        </is>
      </c>
      <c r="B44" s="9" t="inlineStr">
        <is>
          <t>M12 현장조립 플러그</t>
        </is>
      </c>
      <c r="C44" s="9" t="inlineStr">
        <is>
          <t>3</t>
        </is>
      </c>
      <c r="D44" s="9" t="inlineStr"/>
      <c r="E44" s="9" t="inlineStr"/>
      <c r="F44" s="9" t="inlineStr"/>
    </row>
    <row r="45">
      <c r="A45" s="9" t="inlineStr">
        <is>
          <t>커넥터</t>
        </is>
      </c>
      <c r="B45" s="9" t="inlineStr">
        <is>
          <t>고어 통기 벤트 M12×1.5</t>
        </is>
      </c>
      <c r="C45" s="9" t="inlineStr">
        <is>
          <t>1</t>
        </is>
      </c>
      <c r="D45" s="9" t="inlineStr">
        <is>
          <t>결로 방지 — 빠뜨리기 쉬움</t>
        </is>
      </c>
      <c r="E45" s="9" t="inlineStr"/>
      <c r="F45" s="9" t="inlineStr"/>
    </row>
    <row r="46">
      <c r="A46" s="9" t="inlineStr">
        <is>
          <t>커넥터</t>
        </is>
      </c>
      <c r="B46" s="9" t="inlineStr">
        <is>
          <t>방수캡</t>
        </is>
      </c>
      <c r="C46" s="9" t="inlineStr">
        <is>
          <t>2</t>
        </is>
      </c>
      <c r="D46" s="9" t="inlineStr"/>
      <c r="E46" s="9" t="inlineStr"/>
      <c r="F46" s="9" t="inlineStr"/>
    </row>
    <row r="47">
      <c r="A47" s="9" t="inlineStr">
        <is>
          <t>보호</t>
        </is>
      </c>
      <c r="B47" s="9" t="inlineStr">
        <is>
          <t>퓨즈홀더 + 퓨즈 (AC 2A / 12V 1A)</t>
        </is>
      </c>
      <c r="C47" s="9" t="inlineStr">
        <is>
          <t>각 1</t>
        </is>
      </c>
      <c r="D47" s="9" t="inlineStr"/>
      <c r="E47" s="9" t="inlineStr"/>
      <c r="F47" s="9" t="inlineStr"/>
    </row>
    <row r="48">
      <c r="A48" s="9" t="inlineStr">
        <is>
          <t>보호</t>
        </is>
      </c>
      <c r="B48" s="9" t="inlineStr">
        <is>
          <t>SPD 275V (온도퓨즈 내장형)</t>
        </is>
      </c>
      <c r="C48" s="9" t="inlineStr">
        <is>
          <t>1</t>
        </is>
      </c>
      <c r="D48" s="9" t="inlineStr">
        <is>
          <t>맨 바리스터 금지</t>
        </is>
      </c>
      <c r="E48" s="9" t="inlineStr"/>
      <c r="F48" s="9" t="inlineStr"/>
    </row>
    <row r="49">
      <c r="A49" s="9" t="inlineStr">
        <is>
          <t>보호</t>
        </is>
      </c>
      <c r="B49" s="9" t="inlineStr">
        <is>
          <t>TVS — SM712 / 16V급</t>
        </is>
      </c>
      <c r="C49" s="9" t="inlineStr">
        <is>
          <t>각 1</t>
        </is>
      </c>
      <c r="D49" s="9" t="inlineStr"/>
      <c r="E49" s="9" t="inlineStr"/>
      <c r="F49" s="9" t="inlineStr"/>
    </row>
    <row r="50">
      <c r="A50" s="9" t="inlineStr">
        <is>
          <t>기구</t>
        </is>
      </c>
      <c r="B50" s="9" t="inlineStr">
        <is>
          <t>압착 프레임 (SH-04)</t>
        </is>
      </c>
      <c r="C50" s="9" t="inlineStr">
        <is>
          <t>1</t>
        </is>
      </c>
      <c r="D50" s="9" t="inlineStr">
        <is>
          <t>알루미늄 3t 레이저 절단</t>
        </is>
      </c>
      <c r="E50" s="9" t="inlineStr"/>
      <c r="F50" s="9" t="inlineStr"/>
    </row>
    <row r="51">
      <c r="A51" s="9" t="inlineStr">
        <is>
          <t>기구</t>
        </is>
      </c>
      <c r="B51" s="9" t="inlineStr">
        <is>
          <t>개스킷 테이프 폭5×두께2 / 실리콘 패드 3t</t>
        </is>
      </c>
      <c r="C51" s="9" t="inlineStr">
        <is>
          <t>각 1</t>
        </is>
      </c>
      <c r="D51" s="9" t="inlineStr"/>
      <c r="E51" s="9" t="inlineStr"/>
      <c r="F51" s="9" t="inlineStr"/>
    </row>
    <row r="52">
      <c r="A52" s="9" t="inlineStr">
        <is>
          <t>기구</t>
        </is>
      </c>
      <c r="B52" s="9" t="inlineStr">
        <is>
          <t>M3 스탠드오프 Ø8 접착식</t>
        </is>
      </c>
      <c r="C52" s="9" t="inlineStr">
        <is>
          <t>4</t>
        </is>
      </c>
      <c r="D52" s="9" t="inlineStr">
        <is>
          <t>길이는 시제품 실측 후</t>
        </is>
      </c>
      <c r="E52" s="9" t="inlineStr"/>
      <c r="F52" s="9" t="inlineStr"/>
    </row>
    <row r="53">
      <c r="A53" s="9" t="inlineStr">
        <is>
          <t>기구</t>
        </is>
      </c>
      <c r="B53" s="9" t="inlineStr">
        <is>
          <t>SUS316 M4 핀-인-톡스 볼트 + 전용 비트</t>
        </is>
      </c>
      <c r="C53" s="9" t="inlineStr">
        <is>
          <t>6 / 1</t>
        </is>
      </c>
      <c r="D53" s="9" t="inlineStr">
        <is>
          <t>탬퍼 방지</t>
        </is>
      </c>
      <c r="E53" s="9" t="inlineStr"/>
      <c r="F53" s="9" t="inlineStr"/>
    </row>
    <row r="54">
      <c r="A54" s="9" t="inlineStr">
        <is>
          <t>기구</t>
        </is>
      </c>
      <c r="B54" s="9" t="inlineStr">
        <is>
          <t>봉인 라벨 VOID</t>
        </is>
      </c>
      <c r="C54" s="9" t="inlineStr">
        <is>
          <t>2</t>
        </is>
      </c>
      <c r="D54" s="9" t="inlineStr"/>
      <c r="E54" s="9" t="inlineStr"/>
      <c r="F54" s="9" t="inlineStr"/>
    </row>
    <row r="55">
      <c r="A55" s="9" t="inlineStr">
        <is>
          <t>기구</t>
        </is>
      </c>
      <c r="B55" s="9" t="inlineStr">
        <is>
          <t>접지 스터드 M4 + 톱니와셔</t>
        </is>
      </c>
      <c r="C55" s="9" t="inlineStr">
        <is>
          <t>1</t>
        </is>
      </c>
      <c r="D55" s="9" t="inlineStr"/>
      <c r="E55" s="9" t="inlineStr"/>
      <c r="F55" s="9" t="inlineStr"/>
    </row>
    <row r="56">
      <c r="A56" s="9" t="inlineStr">
        <is>
          <t>기구</t>
        </is>
      </c>
      <c r="B56" s="9" t="inlineStr">
        <is>
          <t>실리카겔 50g / 열전도 패드</t>
        </is>
      </c>
      <c r="C56" s="9" t="inlineStr">
        <is>
          <t>각 1</t>
        </is>
      </c>
      <c r="D56" s="9" t="inlineStr"/>
      <c r="E56" s="9" t="inlineStr"/>
      <c r="F56" s="9" t="inlineStr"/>
    </row>
    <row r="57">
      <c r="A57" s="9" t="inlineStr">
        <is>
          <t>배선</t>
        </is>
      </c>
      <c r="B57" s="9" t="inlineStr">
        <is>
          <t>종단저항 120Ω</t>
        </is>
      </c>
      <c r="C57" s="9" t="inlineStr">
        <is>
          <t>1</t>
        </is>
      </c>
      <c r="D57" s="9" t="inlineStr">
        <is>
          <t>케이블 10m 초과 시</t>
        </is>
      </c>
      <c r="E57" s="9" t="inlineStr"/>
      <c r="F57" s="9" t="inlineStr"/>
    </row>
    <row r="58">
      <c r="A58" s="9" t="inlineStr">
        <is>
          <t>배선</t>
        </is>
      </c>
      <c r="B58" s="9" t="inlineStr">
        <is>
          <t>케이블 타이 앵커 (접착식)</t>
        </is>
      </c>
      <c r="C58" s="9" t="inlineStr">
        <is>
          <t>1식</t>
        </is>
      </c>
      <c r="D58" s="9" t="inlineStr"/>
      <c r="E58" s="9" t="inlineStr"/>
      <c r="F58" s="9" t="inlineStr"/>
    </row>
    <row r="59">
      <c r="A59" s="9" t="inlineStr">
        <is>
          <t>배선</t>
        </is>
      </c>
      <c r="B59" s="9" t="inlineStr">
        <is>
          <t>RS485용 실드 트위스트 페어 센서 케이블</t>
        </is>
      </c>
      <c r="C59" s="9" t="inlineStr">
        <is>
          <t>현장별</t>
        </is>
      </c>
      <c r="D59" s="9" t="inlineStr">
        <is>
          <t>0.5㎟ 이상. 50m 초과면 0.75㎟</t>
        </is>
      </c>
      <c r="E59" s="9" t="inlineStr"/>
      <c r="F59" s="9" t="inlineStr"/>
    </row>
    <row r="60">
      <c r="A60" s="9" t="inlineStr">
        <is>
          <t>라벨</t>
        </is>
      </c>
      <c r="B60" s="9" t="inlineStr">
        <is>
          <t>정격·경고·커넥터·시리얼 라벨</t>
        </is>
      </c>
      <c r="C60" s="9" t="inlineStr">
        <is>
          <t>1식</t>
        </is>
      </c>
      <c r="D60" s="9" t="inlineStr">
        <is>
          <t>전면: 환경 모니터링 시스템 / 주식회사 컬리버</t>
        </is>
      </c>
      <c r="E60" s="9" t="inlineStr"/>
      <c r="F6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2026-08-11T03:40:02Z</dcterms:created>
  <dcterms:modified xsi:type="dcterms:W3CDTF">2026-08-11T03:40:02Z</dcterms:modified>
</cp:coreProperties>
</file>